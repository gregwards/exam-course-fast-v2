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 Map" sheetId="1" r:id="rId5"/>
    <sheet state="visible" name="Assessment Map" sheetId="2" r:id="rId6"/>
  </sheets>
  <definedNames>
    <definedName hidden="1" localSheetId="0" name="_xlnm._FilterDatabase">'LO Map'!$A$1:$D$52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tc={1630ec7d-e43d-4493-a495-1762e5692ce3}</author>
    <author>tc={60ad53aa-1f16-42ab-a1da-dee76fcef10f}</author>
    <author>tc={7a0773f6-850f-4dcb-8340-74099914079d}</author>
    <author>tc={82d620bb-7b57-4767-a257-7f090060e43e}</author>
    <author>tc={adffaf79-0f47-47f9-a22e-d4c884b83819}</author>
    <author>tc={ca2b3f3a-be63-4a07-a53b-e3dbdf26471e}</author>
  </authors>
  <commentList>
    <comment authorId="0" xr:uid="{1630ec7d-e43d-4493-a495-1762e5692ce3}" ref="C9">
      <text>
        <t xml:space="preserve">[Threaded comment]
 Your version of Excel allows you to read this threaded comment; however, any edits to it will get removed if the file is opened in a newer version of Excel. Learn more: https://go.microsoft.com/fwlink/?linkid=870924
Comment:
	Something around how the three systems work together folded into this
Reply:
	Consider how to fold this into the three weeks
</t>
      </text>
    </comment>
    <comment authorId="1" xr:uid="{60ad53aa-1f16-42ab-a1da-dee76fcef10f}" ref="C13">
      <text>
        <t xml:space="preserve">[Threaded comment]
 Your version of Excel allows you to read this threaded comment; however, any edits to it will get removed if the file is opened in a newer version of Excel. Learn more: https://go.microsoft.com/fwlink/?linkid=870924
Comment:
	Fold in public opinion and the three branches. Opinion of congress, opinion of president, opinion of SCOTUS. Why president loses the midterms almost always
</t>
      </text>
    </comment>
    <comment authorId="2" xr:uid="{7a0773f6-850f-4dcb-8340-74099914079d}" ref="C8">
      <text>
        <t xml:space="preserve">[Threaded comment]
 Your version of Excel allows you to read this threaded comment; however, any edits to it will get removed if the file is opened in a newer version of Excel. Learn more: https://go.microsoft.com/fwlink/?linkid=870924
Comment:
	Anything around elections we can fold in here?
</t>
      </text>
    </comment>
    <comment authorId="3" xr:uid="{82d620bb-7b57-4767-a257-7f090060e43e}" ref="C12">
      <text>
        <t xml:space="preserve">[Threaded comment]
 Your version of Excel allows you to read this threaded comment; however, any edits to it will get removed if the file is opened in a newer version of Excel. Learn more: https://go.microsoft.com/fwlink/?linkid=870924
Comment:
	A fact check assignment that goes with misinformation.
</t>
      </text>
    </comment>
    <comment authorId="4" xr:uid="{adffaf79-0f47-47f9-a22e-d4c884b83819}" ref="C7">
      <text>
        <t xml:space="preserve">[Threaded comment]
 Your version of Excel allows you to read this threaded comment; however, any edits to it will get removed if the file is opened in a newer version of Excel. Learn more: https://go.microsoft.com/fwlink/?linkid=870924
Comment:
	Anything we can fold into this around congressional districts and elections?
Reply:
	Could have something on congressional spending here. This is also a good part to discuss term limits vs. no term limits.
</t>
      </text>
    </comment>
    <comment authorId="5" xr:uid="{ca2b3f3a-be63-4a07-a53b-e3dbdf26471e}" ref="C10">
      <text>
        <t xml:space="preserve">[Threaded comment]
 Your version of Excel allows you to read this threaded comment; however, any edits to it will get removed if the file is opened in a newer version of Excel. Learn more: https://go.microsoft.com/fwlink/?linkid=870924
Comment:
	Perhaps something around campaign finance here too for an activity
Reply:
	Talk about the two party system here. Duverger's law.
</t>
      </text>
    </comment>
  </commentList>
</comments>
</file>

<file path=xl/sharedStrings.xml><?xml version="1.0" encoding="utf-8"?>
<sst xmlns="http://schemas.openxmlformats.org/spreadsheetml/2006/main" count="299" uniqueCount="178">
  <si>
    <t>LO Type</t>
  </si>
  <si>
    <t>#</t>
  </si>
  <si>
    <t>Parent</t>
  </si>
  <si>
    <t>Description</t>
  </si>
  <si>
    <t>PLO</t>
  </si>
  <si>
    <t>Evaluate how constitutional principles, political institutions, and democratic participation shape the making and contestation of public policy in American government.</t>
  </si>
  <si>
    <t>CLO</t>
  </si>
  <si>
    <t>Explain the constitutional foundations of American government, separation of powers, checks and balances, federalism, and the Bill of Rights, and how they shape present-day governance.</t>
  </si>
  <si>
    <t>Analyze the structure, powers, and interrelationships of the three branches of the federal government.</t>
  </si>
  <si>
    <t>Evaluate the roles of political parties, interest groups, elections, and media in shaping political outcomes and public discourse.</t>
  </si>
  <si>
    <t>Apply concepts of civil liberties and civil rights to examine how constitutional protections have been interpreted and contested over time.</t>
  </si>
  <si>
    <t>Analyze how public opinion forms, how it is measured, and how it influences government behavior and policy.</t>
  </si>
  <si>
    <t>Assess the forms and significance of political participation, voting, civic engagement, and advocacy, in a democratic system.</t>
  </si>
  <si>
    <t>Analyze the stages of the policy process, agenda-setting, formulation, adoption, implementation, and evaluation, across domestic and foreign policy domains</t>
  </si>
  <si>
    <t>KLO</t>
  </si>
  <si>
    <t>CLO-1</t>
  </si>
  <si>
    <t>Explain the philosophical origins of American government in natural rights and social contract theory</t>
  </si>
  <si>
    <t>Describe the weaknesses of the Articles of Confederation that led to the Constitutional Convention</t>
  </si>
  <si>
    <t>Describe the structure of the Constitution, including separation of powers across its major articles</t>
  </si>
  <si>
    <t>Explain how the system of checks and balances distributes power among the three branches of government</t>
  </si>
  <si>
    <t>Describe the constitutional amendment process, including the roles of Congress and the states</t>
  </si>
  <si>
    <t>Identify the protections established by the Bill of Rights</t>
  </si>
  <si>
    <t>Distinguish among enumerated, reserved, and concurrent powers in the federal system</t>
  </si>
  <si>
    <t>Explain the evolution of American federalism from dual federalism to cooperative federalism</t>
  </si>
  <si>
    <t>Good for state/local later</t>
  </si>
  <si>
    <t>CLO-2</t>
  </si>
  <si>
    <t>Identify the institutional design of Congress, including bicameralism, representation, and apportionment</t>
  </si>
  <si>
    <t>Describe the legislative process from bill introduction through committee action to floor vote and presidential action</t>
  </si>
  <si>
    <t>Explain the roles of congressional leadership, committees, and party dynamics in shaping legislation</t>
  </si>
  <si>
    <t>Could have somethign on congressional spending here</t>
  </si>
  <si>
    <t>Describe the constitutional and informal powers of the president, including executive orders, vetoes, and war powers</t>
  </si>
  <si>
    <t>Describe the organization, functions, and accountability mechanisms of the federal bureaucracy</t>
  </si>
  <si>
    <t>Identify the structure and jurisdiction of the federal court system</t>
  </si>
  <si>
    <t>Explain the process of judicial review and how the Supreme Court decides cases</t>
  </si>
  <si>
    <t>Introduce judical legitamacy. Why don't they do whatever they want?</t>
  </si>
  <si>
    <t>Describe how judicial philosophy and appointment politics shape constitutional interpretation</t>
  </si>
  <si>
    <t>CLO-3</t>
  </si>
  <si>
    <t>Describe the origins, functions, and evolution of American political parties</t>
  </si>
  <si>
    <t>Explain the concept of partisan realignment and identify major realigning periods in American party history</t>
  </si>
  <si>
    <t>Describe the causes and consequences of contemporary partisan polarization</t>
  </si>
  <si>
    <t>Identify the types, tactics, and influence of interest groups in American politics</t>
  </si>
  <si>
    <t>Explain how campaign finance laws regulate the role of money in elections</t>
  </si>
  <si>
    <t>Describe the electoral process, including primaries, general elections, and the Electoral College</t>
  </si>
  <si>
    <t>Explain how traditional, digital, and social media shape political discourse through framing and agenda-setting</t>
  </si>
  <si>
    <t>Describe the effects of misinformation and media fragmentation on public trust and political knowledge</t>
  </si>
  <si>
    <t>CLO-4</t>
  </si>
  <si>
    <t>Distinguish between civil liberties and civil rights</t>
  </si>
  <si>
    <t>Explain the incorporation doctrine and how the Bill of Rights has been applied to state governments</t>
  </si>
  <si>
    <t>Identify the key protections of the First Amendment, including freedoms of speech, religion, press, and assembly</t>
  </si>
  <si>
    <t>Describe due process protections and the rights of the accused in the criminal justice system</t>
  </si>
  <si>
    <t>Explain the key events and legal milestones of the civil rights movement, including equal protection under the Fourteenth Amendment</t>
  </si>
  <si>
    <t>Describe ongoing equal protection debates and how civil rights claims have expanded to new groups and contexts beyond the original civil rights movement</t>
  </si>
  <si>
    <t>Fold current events in here</t>
  </si>
  <si>
    <t>CLO-5</t>
  </si>
  <si>
    <t>Identify the agents and processes of political socialization that shape political attitudes</t>
  </si>
  <si>
    <t>Describe how public opinion is measured, including polling methodology, sampling, and margin of error</t>
  </si>
  <si>
    <t>Explain how political ideology is distributed across the American public</t>
  </si>
  <si>
    <t>Describe how public opinion influences government decision-making and policy outcomes</t>
  </si>
  <si>
    <t>CLO-6</t>
  </si>
  <si>
    <t>Identify the major forms of political participation, including voting, protest, and civic engagement</t>
  </si>
  <si>
    <t>Describe the factors that influence voter turnout in American elections</t>
  </si>
  <si>
    <t>Explain historical and contemporary barriers to voting, including registration requirements and voter suppression</t>
  </si>
  <si>
    <t>Describe how demographic factors such as age, race, income, and education correlate with participation patterns</t>
  </si>
  <si>
    <t>CLO-7</t>
  </si>
  <si>
    <t>Identify the stages of the policy process: agenda-setting, formulation, adoption, implementation, and evaluation</t>
  </si>
  <si>
    <t>Explain how policy entrepreneurs, interest groups, and political conditions influence agenda-setting</t>
  </si>
  <si>
    <t>Describe the major policy debates in social welfare and healthcare</t>
  </si>
  <si>
    <t>Describe the key issues and debates in immigration and economic policy</t>
  </si>
  <si>
    <t>Explain the key actors, institutions, and debates in foreign and national security policy</t>
  </si>
  <si>
    <t>Unit</t>
  </si>
  <si>
    <t>Act</t>
  </si>
  <si>
    <t>CLOs Covered</t>
  </si>
  <si>
    <t>KLOs Covered</t>
  </si>
  <si>
    <t>Skill</t>
  </si>
  <si>
    <t>Primary Assessment</t>
  </si>
  <si>
    <t>Primary Pts</t>
  </si>
  <si>
    <t>Secondary Assessment</t>
  </si>
  <si>
    <t>Secondary Pts</t>
  </si>
  <si>
    <t>Career Milestone</t>
  </si>
  <si>
    <t>CM Pts</t>
  </si>
  <si>
    <t>Unit Pts</t>
  </si>
  <si>
    <t>Cumulative Pts</t>
  </si>
  <si>
    <t>Primary Resource / Textbook Ch.</t>
  </si>
  <si>
    <t>Unit Description</t>
  </si>
  <si>
    <t>Assignment Ideas</t>
  </si>
  <si>
    <t>Onboarding, Natural Rights, and the Social Contract</t>
  </si>
  <si>
    <t>KLO-1</t>
  </si>
  <si>
    <t>Onboarding</t>
  </si>
  <si>
    <t>Ch 1.1–1.3, 2.1</t>
  </si>
  <si>
    <t>This week is about getting set up: you'll complete your onboarding tasks, meet your classmates, and explore the basic question of why government exists and who it serves. The discussion forum asks you to begin to think about the foundational theories of the American government and how these theories appear in our society. Think of this as a low-pressure warm-up. Starting next week, you'll dig into the actual blueprint the founders wrote for how American government is supposed to work.</t>
  </si>
  <si>
    <t xml:space="preserve">A discussion forum that better incorporates natural rights and social contract theory. For example, "what's a social construct that you think is critical to our society continuing to function." </t>
  </si>
  <si>
    <t>The Constitution and Its Origins</t>
  </si>
  <si>
    <t>KLO-2, KLO-3, KLO-4</t>
  </si>
  <si>
    <t>Problem Set</t>
  </si>
  <si>
    <t>Ch 2.2–2.4</t>
  </si>
  <si>
    <t>Your first real teaching week covers the origins of the Constitution. You'll learn why the Articles of Confederation failed, how the founders designed the Constitution to fix those failures, and how checks and balances prevent any one branch from dominating the others. The practice questions assess whether you can identify these structural features and explain why they exist. Every branch of government you study later in this course operates within the framework you learn here, so when Unit 6 asks how a bill becomes law or Unit 7 asks what the president can and cannot do, you'll already know the rules of the game.</t>
  </si>
  <si>
    <t>The Bill of Rights &amp; American Federalism</t>
  </si>
  <si>
    <t>KLO-5, KLO-6, KLO-7, KLO-8</t>
  </si>
  <si>
    <t>MyCareer Onboarding</t>
  </si>
  <si>
    <t>Ch 2.5, 3.1–3.3</t>
  </si>
  <si>
    <t>Unit 2 gave you the Constitution's structure. Now you'll learn what it promises to protect and how power is divided between Washington and the states. You'll cover the amendment process, the specific protections in the Bill of Rights, and the difference between enumerated, reserved, and concurrent powers. The practice quesitons ask you to identify these protections and classify which level of government holds which powers. Knowing the Bill of Rights cold is the foundation for Unit 4, where you'll apply those protections to real controversies over free speech, religion, and due process. Understanding federalism will keep coming back all semester, from court jurisdiction to policy implementation.</t>
  </si>
  <si>
    <r>
      <rPr>
        <rFont val="Inter"/>
        <color theme="1"/>
        <sz val="10.0"/>
      </rPr>
      <t xml:space="preserve">Civil Liberties
</t>
    </r>
    <r>
      <rPr>
        <rFont val="Inter"/>
        <b/>
        <color theme="1"/>
        <sz val="10.0"/>
      </rPr>
      <t>Exam 1 (Units 1 - 3)</t>
    </r>
  </si>
  <si>
    <t>KLO-25, KLO-26, KLO-27</t>
  </si>
  <si>
    <t>Quiz</t>
  </si>
  <si>
    <t>Discussion Forum</t>
  </si>
  <si>
    <t>Ch 4.1–4.2</t>
  </si>
  <si>
    <t>This week has two main deliverables. Exam 1 tests everything from Units 1 through 3: constitutional structure, checks and balances, the Bill of Rights, and federalism. Alongside the exam, you begin studying civil liberties by learning what the government cannot do to you. You'll learn how the incorporation doctrine extended Bill of Rights protections to state governments and what the First Amendment actually protects when it comes to speech, religion, press, and assembly. A discussion forum asks you to take a real First Amendment controversy and argue both sides of whether the government's restriction was justified. This sets you up for Unit 5, where the question flips: instead of what the government can't do, you'll ask what the government must do to guarantee equal treatment.</t>
  </si>
  <si>
    <t>Analyzing first ammendment cases and arguing both sides</t>
  </si>
  <si>
    <t>Civil Rights &amp; Political Eqality</t>
  </si>
  <si>
    <t>CLO-4, CLO-6</t>
  </si>
  <si>
    <t>KLO-28, KLO-29, KLO-30, KLO-37</t>
  </si>
  <si>
    <t>Assignment</t>
  </si>
  <si>
    <t>Ch 4.3–4.4, 5.1–5.5, 7.1</t>
  </si>
  <si>
    <t>Unit 4 covered what the government cannot do to you. Now you'll study what the government must do to protect equal treatment under the law. You'll trace the civil rights movement from the Fourteenth Amendment through landmark Supreme Court cases, then examine how due process protections work for the accused. The unit also covers how voting barriers have historically been used to exclude groups from political participation. An assignment asks you to analyze a landmark case or ongoing equal protection debate, building an argument about how constitutional principles were applied. When you reach Unit 10 on elections, you'll already understand why certain groups vote at lower rates and why that pattern has deep historical roots.</t>
  </si>
  <si>
    <t>Civil rights case study or landmark case argument (add a discussion perhaps)
Research a recent or ongoing equal protections claim (e.g. LGBT rights, religious freedom, voting rights, etc.) and craft a response</t>
  </si>
  <si>
    <t>Congress</t>
  </si>
  <si>
    <t>KLO-9, KLO-10, KLO-11</t>
  </si>
  <si>
    <t>Ch 11.1–11.5</t>
  </si>
  <si>
    <t>You shift from rights to institutions. Congress is the branch the founders designed first, and this unit covers why: you'll learn the differences between the House and Senate, how a bill actually becomes law, and how party leadership and committees control what gets voted on. The practice questiosn are detail-heavy because this material is full of specific structures and processes that show up on exams. Once you understand how Congress operates on its own terms, Unit 7 introduces the president, and you'll be able to see exactly where executive and legislative power collide: vetoes, nominations, oversight, and the budget.</t>
  </si>
  <si>
    <t>The Presidency, Bureaucracy &amp; Federal Courts</t>
  </si>
  <si>
    <t>KLO-12, KLO-13, KLO-14</t>
  </si>
  <si>
    <t>Ch 12.1, 12.3–12.4, 15.1–15.4, 13.1–13.2</t>
  </si>
  <si>
    <t>With Congress fresh in your mind, you now add the other two branches. You'll learn the constitutional and informal powers of the president, including executive orders, the veto, and war powers. You'll also cover how the federal bureaucracy actually carries out policy and how the court system is structured from district courts up to the Supreme Court. The practice quesitons ask you to identify these powers and structures and explain how they interact with Congress. Unit 8 narrows the focus to the Supreme Court specifically, asking how justices interpret the Constitution and why their appointment is so politically charged. Together, Units 6 through 8 give you the complete institutional picture tested on Exam 2.</t>
  </si>
  <si>
    <t>Judicial Reviews &amp; Consitutional Interpretation</t>
  </si>
  <si>
    <t>KLO-15, KLO-16</t>
  </si>
  <si>
    <t>ROI Journey</t>
  </si>
  <si>
    <t>Ch 13.3–13.5</t>
  </si>
  <si>
    <t>Unit 7 introduced the court system's structure. Now you'll go deeper into how the Supreme Court actually decides cases through judicial review, and how different judicial philosophies (originalism, living constitution) lead justices to different conclusions on the same case. You'll also examine how the politics of judicial appointments shape the Court's direction for decades. The practice questions test your ability to distinguish these philosophies and explain how landmark cases changed constitutional interpretation. This completes the institutional block: you now understand how all three branches work independently and check each other. Exam 2 in Unit 9 tests this entire stretch from civil liberties through the judiciary.</t>
  </si>
  <si>
    <r>
      <rPr>
        <rFont val="Inter"/>
        <color theme="1"/>
        <sz val="10.0"/>
      </rPr>
      <t xml:space="preserve">Political Parties &amp; Interest Groups
</t>
    </r>
    <r>
      <rPr>
        <rFont val="Inter"/>
        <b/>
        <color theme="1"/>
        <sz val="10.0"/>
      </rPr>
      <t>Exam 2 (Units 4 - 8)</t>
    </r>
  </si>
  <si>
    <t>KLO-17, KLO-18, KLO-19, KLO-20, KLO-21</t>
  </si>
  <si>
    <t>Midterm Exam</t>
  </si>
  <si>
    <t>Ch 9.1–9.4, 10.1–10.5</t>
  </si>
  <si>
    <t>Exam 2 covers Units 4 through 8: civil liberties, civil rights, and all three branches of government. Alongside the exam, you pivot from studying institutions to studying the actors who try to influence them. You'll learn how American political parties formed, why we have a two-party system, what partisan realignment and polarization mean, and how interest groups use lobbying and campaign spending to shape outcomes. A discussion forum asks you to pick a real interest group or party platform and analyze its strategy for influencing government. Understanding these actors is critical for Unit 10, where you'll see how parties, interest groups, and campaign money shape the elections that determine who actually holds power.</t>
  </si>
  <si>
    <t>- Polarization and two party system discussion (compare perhaps to a parlementary system in England or other country)
- Interest group or party platform analysis discussion
- Money and elections discussion</t>
  </si>
  <si>
    <t>Elections &amp; Political Participation</t>
  </si>
  <si>
    <t>CLO-3, CLO-6</t>
  </si>
  <si>
    <t>KLO-22, KLO-35, KLO-36, KLO-38</t>
  </si>
  <si>
    <t>Ch 7.2–7.4, 12.2</t>
  </si>
  <si>
    <t>Unit 9 gave you the actors: parties and interest groups. Now you'll study the arena where they compete. You'll cover how primaries and the Electoral College work, what drives voter turnout, and how demographic factors like age, race, and income predict who participates and who doesn't. The practice questions test whether you can identify these electoral structures and explain the patterns in who votes and who doesn't. This matters for Unit 11, where you'll examine how media shapes what voters know and believe before they ever get to the ballot box.</t>
  </si>
  <si>
    <t>Media &amp; Public Opinion</t>
  </si>
  <si>
    <t>CLO-3, CLO-5</t>
  </si>
  <si>
    <t>KLO-23, KLO-24, KLO-31, KLO-32, KLO-33</t>
  </si>
  <si>
    <t>Ch 8.1–8.4, 6.1–6.3</t>
  </si>
  <si>
    <t>You've studied elections and who participates. Now you'll examine the information environment those voters operate in. You'll learn how political socialization shapes attitudes from childhood, how polls measure what the public thinks, and how traditional and social media use framing and agenda-setting to influence which issues people care about. You'll also cover how misinformation and media fragmentation have reshaped political knowledge and trust. A discussion gets you and your classmates analyzing how a real political story was covered differently across media platforms, followed by a short written reflection connecting what you observed to the concepts from the reading. Unit 12 asks the next question: once public opinion forms, how does it actually influence what government does?</t>
  </si>
  <si>
    <t>Social media, traditional news, and elections
Political ideology quiz and politcal party analysis</t>
  </si>
  <si>
    <r>
      <rPr>
        <rFont val="Inter"/>
        <color theme="1"/>
        <sz val="10.0"/>
      </rPr>
      <t xml:space="preserve">Public Opinion &amp; the Policy Process
</t>
    </r>
    <r>
      <rPr>
        <rFont val="Inter"/>
        <b/>
        <color theme="1"/>
        <sz val="10.0"/>
      </rPr>
      <t>Exam 3 (Units 8 - 11)</t>
    </r>
  </si>
  <si>
    <t>CLO-5, CLO-7</t>
  </si>
  <si>
    <t>KLO-34, KLO-39, KLO-40</t>
  </si>
  <si>
    <t>Ch 6.4, 16.1–16.2</t>
  </si>
  <si>
    <t>Exam 3 tests Units 9 through 11: political parties, interest groups, elections, media, and public opinion. Alongside the exam, you'll close the loop between public opinion and government action. You'll learn how opinion influences policymakers and then study the policy process itself: how issues get on the agenda, how proposals are formulated and adopted, and who controls each stage. A short assignment asks you to trace a real issue through the agenda-setting process, identifying which actors pushed it forward and what political conditions made it possible. Unit 13 applies this framework to specific policy areas, from healthcare to foreign policy, so you'll need the process stages down cold.</t>
  </si>
  <si>
    <t>Agenda-setting issue trace for a given issue</t>
  </si>
  <si>
    <t>Public Policy: Domestic &amp; Foreign Affairs</t>
  </si>
  <si>
    <t>KLO-41, KLO-42, KLO-43</t>
  </si>
  <si>
    <t>Ch 16.3–16.4, 17.1–17.4</t>
  </si>
  <si>
    <t>Unit 12 taught you how the policy process works in theory. Now you apply it to real policy domains: social welfare and healthcare, immigration and economic policy, and foreign and national security policy. You'll see how the institutions, actors, and processes you've studied all semester converge when government tries to solve actual problems. The assignment asks you to write a policy letter to a member of Congress about an issue you care about, using the policy process framework and institutional knowledge from the course to make your case. This unit also serves as your cumulative review: as you work through policy examples, you'll reconnect with constitutional authority, congressional procedure, executive power, and public opinion from earlier units.</t>
  </si>
  <si>
    <t>Civic engagement: policy letter to congressperson</t>
  </si>
  <si>
    <t>Final Exam (HonorLock protected)</t>
  </si>
  <si>
    <t>All CLOs</t>
  </si>
  <si>
    <t>Final Exam</t>
  </si>
  <si>
    <t>–</t>
  </si>
  <si>
    <t>Comprehensive final exam that covers everything taught in the course.</t>
  </si>
  <si>
    <t>TOTALS</t>
  </si>
  <si>
    <t>VALIDATION CHECKS</t>
  </si>
  <si>
    <t>Total = 1000 pts</t>
  </si>
  <si>
    <t>Final Exam 350-450 pts</t>
  </si>
  <si>
    <t>Midterm 100-200 pts</t>
  </si>
  <si>
    <t>Act 1 &lt;= 250 pts</t>
  </si>
  <si>
    <t>Grading Table</t>
  </si>
  <si>
    <t>Max 5 units w/ secondary</t>
  </si>
  <si>
    <t>No secondary &gt; 15 pts</t>
  </si>
  <si>
    <t>Assignments</t>
  </si>
  <si>
    <t>Midterm unit exam-only</t>
  </si>
  <si>
    <t>Discussions</t>
  </si>
  <si>
    <t>Final unit exam-only</t>
  </si>
  <si>
    <t>Career Milestones</t>
  </si>
  <si>
    <t>&gt;=9 exam-practice primaries</t>
  </si>
  <si>
    <t>Exams</t>
  </si>
  <si>
    <t>Skill benchmarked in Unit 6</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</si>
</sst>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FFFFFF"/>
      <name val="Inter"/>
    </font>
    <font>
      <sz val="10.0"/>
      <color theme="1"/>
      <name val="Inter"/>
    </font>
    <font>
      <color theme="1"/>
      <name val="Calibri"/>
      <scheme val="minor"/>
    </font>
    <font>
      <color theme="1"/>
      <name val="Inter"/>
    </font>
    <font>
      <b/>
      <i/>
      <sz val="10.0"/>
      <color theme="1"/>
      <name val="Inter"/>
    </font>
    <font>
      <b/>
      <sz val="10.0"/>
      <color theme="1"/>
      <name val="Inter"/>
    </font>
    <font>
      <b/>
      <sz val="11.0"/>
      <color rgb="FF2F5496"/>
      <name val="Inter"/>
    </font>
  </fonts>
  <fills count="7">
    <fill>
      <patternFill patternType="none"/>
    </fill>
    <fill>
      <patternFill patternType="lightGray"/>
    </fill>
    <fill>
      <patternFill patternType="solid">
        <fgColor rgb="FF2F5496"/>
        <bgColor rgb="FF2F5496"/>
      </patternFill>
    </fill>
    <fill>
      <patternFill patternType="solid">
        <fgColor rgb="FFD6E4F0"/>
        <bgColor rgb="FFD6E4F0"/>
      </patternFill>
    </fill>
    <fill>
      <patternFill patternType="solid">
        <fgColor rgb="FFE8F0E8"/>
        <bgColor rgb="FFE8F0E8"/>
      </patternFill>
    </fill>
    <fill>
      <patternFill patternType="solid">
        <fgColor rgb="FFFFFFFF"/>
        <bgColor rgb="FFFFFFFF"/>
      </patternFill>
    </fill>
    <fill>
      <patternFill patternType="solid">
        <fgColor rgb="FFF2F2F2"/>
        <bgColor rgb="FFF2F2F2"/>
      </patternFill>
    </fill>
  </fills>
  <borders count="3">
    <border/>
    <border>
      <left style="thin">
        <color rgb="FFCCCCCC"/>
      </left>
      <right style="thin">
        <color rgb="FFCCCCCC"/>
      </right>
      <top style="thin">
        <color rgb="FFCCCCCC"/>
      </top>
      <bottom style="thin">
        <color rgb="FFCCCCCC"/>
      </bottom>
    </border>
    <border>
      <top style="double">
        <color rgb="FF2F5496"/>
      </top>
      <bottom style="double">
        <color rgb="FF2F5496"/>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3" fontId="2" numFmtId="0" xfId="0" applyAlignment="1" applyBorder="1" applyFont="1">
      <alignment readingOrder="0" shrinkToFit="0" vertical="top" wrapText="1"/>
    </xf>
    <xf borderId="1" fillId="4" fontId="2" numFmtId="0" xfId="0" applyAlignment="1" applyBorder="1" applyFill="1" applyFont="1">
      <alignment shrinkToFit="0" vertical="top" wrapText="1"/>
    </xf>
    <xf borderId="1" fillId="4"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0" fillId="0" fontId="3" numFmtId="0" xfId="0" applyAlignment="1" applyFont="1">
      <alignment readingOrder="0"/>
    </xf>
    <xf borderId="1"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0" fontId="4" numFmtId="0" xfId="0" applyFont="1"/>
    <xf borderId="1" fillId="5" fontId="2" numFmtId="0" xfId="0" applyAlignment="1" applyBorder="1" applyFill="1" applyFont="1">
      <alignment shrinkToFit="0" vertical="top" wrapText="1"/>
    </xf>
    <xf borderId="1" fillId="5" fontId="2" numFmtId="0" xfId="0" applyAlignment="1" applyBorder="1" applyFont="1">
      <alignment readingOrder="0" shrinkToFit="0" vertical="top" wrapText="1"/>
    </xf>
    <xf borderId="1" fillId="5" fontId="2" numFmtId="0" xfId="0" applyAlignment="1" applyBorder="1" applyFont="1">
      <alignment horizontal="right" shrinkToFit="0" vertical="top" wrapText="1"/>
    </xf>
    <xf borderId="0" fillId="5" fontId="2" numFmtId="0" xfId="0" applyAlignment="1" applyFont="1">
      <alignment readingOrder="0" shrinkToFit="0" vertical="top" wrapText="1"/>
    </xf>
    <xf borderId="0" fillId="0" fontId="2" numFmtId="0" xfId="0" applyAlignment="1" applyFont="1">
      <alignment readingOrder="0" shrinkToFit="0" vertical="top" wrapText="1"/>
    </xf>
    <xf borderId="1" fillId="0" fontId="5" numFmtId="0" xfId="0" applyAlignment="1" applyBorder="1" applyFont="1">
      <alignment readingOrder="0" shrinkToFit="0" vertical="top" wrapText="1"/>
    </xf>
    <xf borderId="1" fillId="6" fontId="2" numFmtId="0" xfId="0" applyAlignment="1" applyBorder="1" applyFill="1" applyFont="1">
      <alignment shrinkToFit="0" vertical="top" wrapText="1"/>
    </xf>
    <xf borderId="1" fillId="6" fontId="2" numFmtId="0" xfId="0" applyAlignment="1" applyBorder="1" applyFont="1">
      <alignment readingOrder="0" shrinkToFit="0" vertical="top" wrapText="1"/>
    </xf>
    <xf borderId="0" fillId="6" fontId="2" numFmtId="0" xfId="0" applyAlignment="1" applyFont="1">
      <alignment readingOrder="0" shrinkToFit="0" vertical="top" wrapText="1"/>
    </xf>
    <xf borderId="0" fillId="0" fontId="6" numFmtId="0" xfId="0" applyAlignment="1" applyFont="1">
      <alignment shrinkToFit="0" vertical="bottom" wrapText="0"/>
    </xf>
    <xf borderId="2" fillId="0" fontId="6" numFmtId="0" xfId="0" applyAlignment="1" applyBorder="1" applyFont="1">
      <alignment shrinkToFit="0" vertical="bottom" wrapText="0"/>
    </xf>
    <xf borderId="0" fillId="0" fontId="7" numFmtId="0" xfId="0" applyAlignment="1" applyFont="1">
      <alignment shrinkToFit="0" vertical="bottom" wrapText="0"/>
    </xf>
    <xf borderId="0" fillId="0" fontId="2" numFmtId="0" xfId="0" applyAlignment="1" applyFont="1">
      <alignment shrinkToFit="0" vertical="bottom" wrapText="0"/>
    </xf>
    <xf borderId="0" fillId="0" fontId="4" numFmtId="0" xfId="0" applyAlignment="1" applyFont="1">
      <alignment readingOrder="0"/>
    </xf>
    <xf borderId="0" fillId="0" fontId="4" numFmtId="9" xfId="0" applyAlignment="1" applyFont="1" applyNumberFormat="1">
      <alignment readingOrder="0"/>
    </xf>
    <xf borderId="0" fillId="0" fontId="4"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even Lance" id="{d2a6d991-fc90-466f-be55-ba59a049645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 dT="2026-04-24T15:17:47.00" personId="{d2a6d991-fc90-466f-be55-ba59a0496452}" id="{60ad53aa-1f16-42ab-a1da-dee76fcef10f}" done="0">
    <x18tc:text xml:space="preserve">Fold in public opinion and the three branches. Opinion of congress, opinion of president, opinion of SCOTUS. Why president loses the midterms almost always</x18tc:text>
  </x18tc:threadedComment>
  <x18tc:threadedComment ref="C12" dT="2026-04-24T15:12:23.00" personId="{d2a6d991-fc90-466f-be55-ba59a0496452}" id="{82d620bb-7b57-4767-a257-7f090060e43e}" done="0">
    <x18tc:text xml:space="preserve">A fact check assignment that goes with misinformation.</x18tc:text>
  </x18tc:threadedComment>
  <x18tc:threadedComment ref="C10" dT="2026-04-24T15:11:52.00" personId="{d2a6d991-fc90-466f-be55-ba59a0496452}" id="{ca2b3f3a-be63-4a07-a53b-e3dbdf26471e}" done="0">
    <x18tc:text xml:space="preserve">Perhaps something around campaign finance here too for an activity</x18tc:text>
  </x18tc:threadedComment>
  <x18tc:threadedComment ref="C10" dT="2026-04-24T15:14:19.00" personId="{d2a6d991-fc90-466f-be55-ba59a0496452}" id="{7f796bf9-3409-4d99-8d6f-4bf7d61ef132}" parentId="{ca2b3f3a-be63-4a07-a53b-e3dbdf26471e}">
    <x18tc:text xml:space="preserve">Talk about the two party system here. Duverger's law.</x18tc:text>
  </x18tc:threadedComment>
  <x18tc:threadedComment ref="C8" dT="2026-04-24T15:09:36.00" personId="{d2a6d991-fc90-466f-be55-ba59a0496452}" id="{7a0773f6-850f-4dcb-8340-74099914079d}" done="0">
    <x18tc:text xml:space="preserve">Anything around elections we can fold in here?</x18tc:text>
  </x18tc:threadedComment>
  <x18tc:threadedComment ref="C7" dT="2026-04-24T15:10:03.00" personId="{d2a6d991-fc90-466f-be55-ba59a0496452}" id="{adffaf79-0f47-47f9-a22e-d4c884b83819}" done="0">
    <x18tc:text xml:space="preserve">Anything we can fold into this around congressional districts and elections?</x18tc:text>
  </x18tc:threadedComment>
  <x18tc:threadedComment ref="C7" dT="2026-04-24T15:16:40.00" personId="{d2a6d991-fc90-466f-be55-ba59a0496452}" id="{4422e099-ba38-4459-ac35-6551b263e1db}" parentId="{adffaf79-0f47-47f9-a22e-d4c884b83819}">
    <x18tc:text xml:space="preserve">Could have something on congressional spending here. This is also a good part to discuss term limits vs. no term limits.</x18tc:text>
  </x18tc:threadedComment>
  <x18tc:threadedComment ref="C9" dT="2026-04-24T15:10:54.00" personId="{d2a6d991-fc90-466f-be55-ba59a0496452}" id="{1630ec7d-e43d-4493-a495-1762e5692ce3}" done="0">
    <x18tc:text xml:space="preserve">Something around how the three systems work together folded into this</x18tc:text>
  </x18tc:threadedComment>
  <x18tc:threadedComment ref="C9" dT="2026-04-24T15:11:08.00" personId="{d2a6d991-fc90-466f-be55-ba59a0496452}" id="{c8cd4454-6630-49f9-80eb-2922667f44b3}" parentId="{1630ec7d-e43d-4493-a495-1762e5692ce3}">
    <x18tc:text xml:space="preserve">Consider how to fold this into the three weeks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14"/>
    <col customWidth="1" min="2" max="2" width="8.0"/>
    <col customWidth="1" min="3" max="3" width="11.71"/>
    <col customWidth="1" min="4" max="4" width="80.0"/>
    <col customWidth="1" min="5" max="26" width="8.71"/>
  </cols>
  <sheetData>
    <row r="1">
      <c r="A1" s="1" t="s">
        <v>0</v>
      </c>
      <c r="B1" s="1" t="s">
        <v>1</v>
      </c>
      <c r="C1" s="1" t="s">
        <v>2</v>
      </c>
      <c r="D1" s="1" t="s">
        <v>3</v>
      </c>
    </row>
    <row r="2">
      <c r="A2" s="2" t="s">
        <v>4</v>
      </c>
      <c r="B2" s="2"/>
      <c r="C2" s="2"/>
      <c r="D2" s="3" t="s">
        <v>5</v>
      </c>
    </row>
    <row r="3">
      <c r="A3" s="4" t="s">
        <v>6</v>
      </c>
      <c r="B3" s="4">
        <v>1.0</v>
      </c>
      <c r="C3" s="4" t="s">
        <v>4</v>
      </c>
      <c r="D3" s="5" t="s">
        <v>7</v>
      </c>
    </row>
    <row r="4">
      <c r="A4" s="4" t="s">
        <v>6</v>
      </c>
      <c r="B4" s="4">
        <v>2.0</v>
      </c>
      <c r="C4" s="4" t="s">
        <v>4</v>
      </c>
      <c r="D4" s="5" t="s">
        <v>8</v>
      </c>
    </row>
    <row r="5">
      <c r="A5" s="4" t="s">
        <v>6</v>
      </c>
      <c r="B5" s="4">
        <v>3.0</v>
      </c>
      <c r="C5" s="4" t="s">
        <v>4</v>
      </c>
      <c r="D5" s="5" t="s">
        <v>9</v>
      </c>
    </row>
    <row r="6">
      <c r="A6" s="4" t="s">
        <v>6</v>
      </c>
      <c r="B6" s="4">
        <v>4.0</v>
      </c>
      <c r="C6" s="4" t="s">
        <v>4</v>
      </c>
      <c r="D6" s="5" t="s">
        <v>10</v>
      </c>
    </row>
    <row r="7">
      <c r="A7" s="4" t="s">
        <v>6</v>
      </c>
      <c r="B7" s="4">
        <v>5.0</v>
      </c>
      <c r="C7" s="4" t="s">
        <v>4</v>
      </c>
      <c r="D7" s="5" t="s">
        <v>11</v>
      </c>
    </row>
    <row r="8">
      <c r="A8" s="4" t="s">
        <v>6</v>
      </c>
      <c r="B8" s="4">
        <v>6.0</v>
      </c>
      <c r="C8" s="4" t="s">
        <v>4</v>
      </c>
      <c r="D8" s="5" t="s">
        <v>12</v>
      </c>
    </row>
    <row r="9">
      <c r="A9" s="5" t="s">
        <v>6</v>
      </c>
      <c r="B9" s="5">
        <v>7.0</v>
      </c>
      <c r="C9" s="5" t="s">
        <v>4</v>
      </c>
      <c r="D9" s="5" t="s">
        <v>13</v>
      </c>
    </row>
    <row r="10">
      <c r="A10" s="6" t="s">
        <v>14</v>
      </c>
      <c r="B10" s="7">
        <v>1.0</v>
      </c>
      <c r="C10" s="7" t="s">
        <v>15</v>
      </c>
      <c r="D10" s="7" t="s">
        <v>16</v>
      </c>
    </row>
    <row r="11">
      <c r="A11" s="6" t="s">
        <v>14</v>
      </c>
      <c r="B11" s="7">
        <v>2.0</v>
      </c>
      <c r="C11" s="7" t="s">
        <v>15</v>
      </c>
      <c r="D11" s="7" t="s">
        <v>17</v>
      </c>
    </row>
    <row r="12">
      <c r="A12" s="6" t="s">
        <v>14</v>
      </c>
      <c r="B12" s="7">
        <v>3.0</v>
      </c>
      <c r="C12" s="7" t="s">
        <v>15</v>
      </c>
      <c r="D12" s="7" t="s">
        <v>18</v>
      </c>
    </row>
    <row r="13">
      <c r="A13" s="6" t="s">
        <v>14</v>
      </c>
      <c r="B13" s="7">
        <v>4.0</v>
      </c>
      <c r="C13" s="7" t="s">
        <v>15</v>
      </c>
      <c r="D13" s="7" t="s">
        <v>19</v>
      </c>
    </row>
    <row r="14">
      <c r="A14" s="6" t="s">
        <v>14</v>
      </c>
      <c r="B14" s="7">
        <v>5.0</v>
      </c>
      <c r="C14" s="7" t="s">
        <v>15</v>
      </c>
      <c r="D14" s="7" t="s">
        <v>20</v>
      </c>
    </row>
    <row r="15">
      <c r="A15" s="6" t="s">
        <v>14</v>
      </c>
      <c r="B15" s="7">
        <v>6.0</v>
      </c>
      <c r="C15" s="7" t="s">
        <v>15</v>
      </c>
      <c r="D15" s="7" t="s">
        <v>21</v>
      </c>
    </row>
    <row r="16">
      <c r="A16" s="6" t="s">
        <v>14</v>
      </c>
      <c r="B16" s="7">
        <v>7.0</v>
      </c>
      <c r="C16" s="7" t="s">
        <v>15</v>
      </c>
      <c r="D16" s="7" t="s">
        <v>22</v>
      </c>
    </row>
    <row r="17">
      <c r="A17" s="6" t="s">
        <v>14</v>
      </c>
      <c r="B17" s="7">
        <v>8.0</v>
      </c>
      <c r="C17" s="7" t="s">
        <v>15</v>
      </c>
      <c r="D17" s="7" t="s">
        <v>23</v>
      </c>
      <c r="E17" s="8" t="s">
        <v>24</v>
      </c>
    </row>
    <row r="18">
      <c r="A18" s="6" t="s">
        <v>14</v>
      </c>
      <c r="B18" s="7">
        <v>9.0</v>
      </c>
      <c r="C18" s="7" t="s">
        <v>25</v>
      </c>
      <c r="D18" s="7" t="s">
        <v>26</v>
      </c>
    </row>
    <row r="19" ht="15.75" customHeight="1">
      <c r="A19" s="6" t="s">
        <v>14</v>
      </c>
      <c r="B19" s="7">
        <v>10.0</v>
      </c>
      <c r="C19" s="7" t="s">
        <v>25</v>
      </c>
      <c r="D19" s="7" t="s">
        <v>27</v>
      </c>
    </row>
    <row r="20" ht="15.75" customHeight="1">
      <c r="A20" s="7" t="s">
        <v>14</v>
      </c>
      <c r="B20" s="7">
        <v>11.0</v>
      </c>
      <c r="C20" s="7" t="s">
        <v>25</v>
      </c>
      <c r="D20" s="7" t="s">
        <v>28</v>
      </c>
      <c r="E20" s="8" t="s">
        <v>29</v>
      </c>
    </row>
    <row r="21" ht="15.75" customHeight="1">
      <c r="A21" s="7" t="s">
        <v>14</v>
      </c>
      <c r="B21" s="7">
        <v>12.0</v>
      </c>
      <c r="C21" s="7" t="s">
        <v>25</v>
      </c>
      <c r="D21" s="7" t="s">
        <v>30</v>
      </c>
    </row>
    <row r="22" ht="15.75" customHeight="1">
      <c r="A22" s="7" t="s">
        <v>14</v>
      </c>
      <c r="B22" s="7">
        <v>13.0</v>
      </c>
      <c r="C22" s="7" t="s">
        <v>25</v>
      </c>
      <c r="D22" s="7" t="s">
        <v>31</v>
      </c>
    </row>
    <row r="23" ht="15.75" customHeight="1">
      <c r="A23" s="7" t="s">
        <v>14</v>
      </c>
      <c r="B23" s="7">
        <v>14.0</v>
      </c>
      <c r="C23" s="7" t="s">
        <v>25</v>
      </c>
      <c r="D23" s="7" t="s">
        <v>32</v>
      </c>
    </row>
    <row r="24" ht="15.75" customHeight="1">
      <c r="A24" s="7" t="s">
        <v>14</v>
      </c>
      <c r="B24" s="7">
        <v>15.0</v>
      </c>
      <c r="C24" s="7" t="s">
        <v>25</v>
      </c>
      <c r="D24" s="7" t="s">
        <v>33</v>
      </c>
      <c r="E24" s="8" t="s">
        <v>34</v>
      </c>
    </row>
    <row r="25" ht="15.75" customHeight="1">
      <c r="A25" s="7" t="s">
        <v>14</v>
      </c>
      <c r="B25" s="7">
        <v>16.0</v>
      </c>
      <c r="C25" s="7" t="s">
        <v>25</v>
      </c>
      <c r="D25" s="7" t="s">
        <v>35</v>
      </c>
    </row>
    <row r="26" ht="15.75" customHeight="1">
      <c r="A26" s="7" t="s">
        <v>14</v>
      </c>
      <c r="B26" s="7">
        <v>17.0</v>
      </c>
      <c r="C26" s="7" t="s">
        <v>36</v>
      </c>
      <c r="D26" s="7" t="s">
        <v>37</v>
      </c>
    </row>
    <row r="27" ht="15.75" customHeight="1">
      <c r="A27" s="7" t="s">
        <v>14</v>
      </c>
      <c r="B27" s="7">
        <v>18.0</v>
      </c>
      <c r="C27" s="7" t="s">
        <v>36</v>
      </c>
      <c r="D27" s="7" t="s">
        <v>38</v>
      </c>
    </row>
    <row r="28" ht="15.75" customHeight="1">
      <c r="A28" s="7" t="s">
        <v>14</v>
      </c>
      <c r="B28" s="7">
        <v>19.0</v>
      </c>
      <c r="C28" s="7" t="s">
        <v>36</v>
      </c>
      <c r="D28" s="7" t="s">
        <v>39</v>
      </c>
    </row>
    <row r="29" ht="15.75" customHeight="1">
      <c r="A29" s="7" t="s">
        <v>14</v>
      </c>
      <c r="B29" s="7">
        <v>20.0</v>
      </c>
      <c r="C29" s="7" t="s">
        <v>36</v>
      </c>
      <c r="D29" s="7" t="s">
        <v>40</v>
      </c>
    </row>
    <row r="30" ht="15.75" customHeight="1">
      <c r="A30" s="7" t="s">
        <v>14</v>
      </c>
      <c r="B30" s="7">
        <v>21.0</v>
      </c>
      <c r="C30" s="7" t="s">
        <v>36</v>
      </c>
      <c r="D30" s="7" t="s">
        <v>41</v>
      </c>
    </row>
    <row r="31" ht="15.75" customHeight="1">
      <c r="A31" s="7" t="s">
        <v>14</v>
      </c>
      <c r="B31" s="7">
        <v>22.0</v>
      </c>
      <c r="C31" s="7" t="s">
        <v>36</v>
      </c>
      <c r="D31" s="7" t="s">
        <v>42</v>
      </c>
    </row>
    <row r="32" ht="15.75" customHeight="1">
      <c r="A32" s="7" t="s">
        <v>14</v>
      </c>
      <c r="B32" s="7">
        <v>23.0</v>
      </c>
      <c r="C32" s="7" t="s">
        <v>36</v>
      </c>
      <c r="D32" s="7" t="s">
        <v>43</v>
      </c>
    </row>
    <row r="33" ht="15.75" customHeight="1">
      <c r="A33" s="7" t="s">
        <v>14</v>
      </c>
      <c r="B33" s="7">
        <v>24.0</v>
      </c>
      <c r="C33" s="7" t="s">
        <v>36</v>
      </c>
      <c r="D33" s="7" t="s">
        <v>44</v>
      </c>
    </row>
    <row r="34" ht="15.75" customHeight="1">
      <c r="A34" s="7" t="s">
        <v>14</v>
      </c>
      <c r="B34" s="7">
        <v>25.0</v>
      </c>
      <c r="C34" s="7" t="s">
        <v>45</v>
      </c>
      <c r="D34" s="7" t="s">
        <v>46</v>
      </c>
      <c r="E34" s="8"/>
    </row>
    <row r="35" ht="15.75" customHeight="1">
      <c r="A35" s="7" t="s">
        <v>14</v>
      </c>
      <c r="B35" s="7">
        <v>26.0</v>
      </c>
      <c r="C35" s="7" t="s">
        <v>45</v>
      </c>
      <c r="D35" s="7" t="s">
        <v>47</v>
      </c>
    </row>
    <row r="36" ht="15.75" customHeight="1">
      <c r="A36" s="7" t="s">
        <v>14</v>
      </c>
      <c r="B36" s="7">
        <v>27.0</v>
      </c>
      <c r="C36" s="7" t="s">
        <v>45</v>
      </c>
      <c r="D36" s="7" t="s">
        <v>48</v>
      </c>
    </row>
    <row r="37" ht="15.75" customHeight="1">
      <c r="A37" s="7" t="s">
        <v>14</v>
      </c>
      <c r="B37" s="7">
        <v>28.0</v>
      </c>
      <c r="C37" s="7" t="s">
        <v>45</v>
      </c>
      <c r="D37" s="7" t="s">
        <v>49</v>
      </c>
    </row>
    <row r="38" ht="15.75" customHeight="1">
      <c r="A38" s="7" t="s">
        <v>14</v>
      </c>
      <c r="B38" s="7">
        <v>29.0</v>
      </c>
      <c r="C38" s="7" t="s">
        <v>45</v>
      </c>
      <c r="D38" s="7" t="s">
        <v>50</v>
      </c>
    </row>
    <row r="39" ht="15.75" customHeight="1">
      <c r="A39" s="7" t="s">
        <v>14</v>
      </c>
      <c r="B39" s="7">
        <v>30.0</v>
      </c>
      <c r="C39" s="7" t="s">
        <v>45</v>
      </c>
      <c r="D39" s="7" t="s">
        <v>51</v>
      </c>
      <c r="E39" s="8" t="s">
        <v>52</v>
      </c>
    </row>
    <row r="40" ht="15.75" customHeight="1">
      <c r="A40" s="7" t="s">
        <v>14</v>
      </c>
      <c r="B40" s="7">
        <v>31.0</v>
      </c>
      <c r="C40" s="7" t="s">
        <v>53</v>
      </c>
      <c r="D40" s="7" t="s">
        <v>54</v>
      </c>
    </row>
    <row r="41" ht="15.75" customHeight="1">
      <c r="A41" s="7" t="s">
        <v>14</v>
      </c>
      <c r="B41" s="7">
        <v>32.0</v>
      </c>
      <c r="C41" s="7" t="s">
        <v>53</v>
      </c>
      <c r="D41" s="7" t="s">
        <v>55</v>
      </c>
    </row>
    <row r="42" ht="15.75" customHeight="1">
      <c r="A42" s="7" t="s">
        <v>14</v>
      </c>
      <c r="B42" s="7">
        <v>33.0</v>
      </c>
      <c r="C42" s="7" t="s">
        <v>53</v>
      </c>
      <c r="D42" s="7" t="s">
        <v>56</v>
      </c>
    </row>
    <row r="43" ht="15.75" customHeight="1">
      <c r="A43" s="7" t="s">
        <v>14</v>
      </c>
      <c r="B43" s="7">
        <v>34.0</v>
      </c>
      <c r="C43" s="7" t="s">
        <v>53</v>
      </c>
      <c r="D43" s="7" t="s">
        <v>57</v>
      </c>
    </row>
    <row r="44" ht="15.75" customHeight="1">
      <c r="A44" s="7" t="s">
        <v>14</v>
      </c>
      <c r="B44" s="7">
        <v>35.0</v>
      </c>
      <c r="C44" s="7" t="s">
        <v>58</v>
      </c>
      <c r="D44" s="7" t="s">
        <v>59</v>
      </c>
    </row>
    <row r="45" ht="15.75" customHeight="1">
      <c r="A45" s="7" t="s">
        <v>14</v>
      </c>
      <c r="B45" s="7">
        <v>36.0</v>
      </c>
      <c r="C45" s="7" t="s">
        <v>58</v>
      </c>
      <c r="D45" s="7" t="s">
        <v>60</v>
      </c>
    </row>
    <row r="46" ht="15.75" customHeight="1">
      <c r="A46" s="7" t="s">
        <v>14</v>
      </c>
      <c r="B46" s="7">
        <v>37.0</v>
      </c>
      <c r="C46" s="7" t="s">
        <v>58</v>
      </c>
      <c r="D46" s="7" t="s">
        <v>61</v>
      </c>
    </row>
    <row r="47" ht="15.75" customHeight="1">
      <c r="A47" s="7" t="s">
        <v>14</v>
      </c>
      <c r="B47" s="7">
        <v>38.0</v>
      </c>
      <c r="C47" s="7" t="s">
        <v>58</v>
      </c>
      <c r="D47" s="7" t="s">
        <v>62</v>
      </c>
    </row>
    <row r="48" ht="15.75" customHeight="1">
      <c r="A48" s="7" t="s">
        <v>14</v>
      </c>
      <c r="B48" s="7">
        <v>39.0</v>
      </c>
      <c r="C48" s="7" t="s">
        <v>63</v>
      </c>
      <c r="D48" s="7" t="s">
        <v>64</v>
      </c>
    </row>
    <row r="49" ht="15.75" customHeight="1">
      <c r="A49" s="7" t="s">
        <v>14</v>
      </c>
      <c r="B49" s="7">
        <v>40.0</v>
      </c>
      <c r="C49" s="7" t="s">
        <v>63</v>
      </c>
      <c r="D49" s="7" t="s">
        <v>65</v>
      </c>
    </row>
    <row r="50" ht="15.75" customHeight="1">
      <c r="A50" s="7" t="s">
        <v>14</v>
      </c>
      <c r="B50" s="7">
        <v>41.0</v>
      </c>
      <c r="C50" s="7" t="s">
        <v>63</v>
      </c>
      <c r="D50" s="7" t="s">
        <v>66</v>
      </c>
    </row>
    <row r="51" ht="15.75" customHeight="1">
      <c r="A51" s="7" t="s">
        <v>14</v>
      </c>
      <c r="B51" s="7">
        <v>42.0</v>
      </c>
      <c r="C51" s="7" t="s">
        <v>63</v>
      </c>
      <c r="D51" s="7" t="s">
        <v>67</v>
      </c>
    </row>
    <row r="52" ht="15.75" customHeight="1">
      <c r="A52" s="7" t="s">
        <v>14</v>
      </c>
      <c r="B52" s="7">
        <v>43.0</v>
      </c>
      <c r="C52" s="7" t="s">
        <v>63</v>
      </c>
      <c r="D52" s="7" t="s">
        <v>68</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autoFilter ref="$A$1:$D$52"/>
  <dataValidations>
    <dataValidation type="list" allowBlank="1" sqref="A2:A52">
      <formula1>"PLO,CLO,KLO"</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6.0"/>
    <col customWidth="1" min="2" max="2" width="5.0"/>
    <col customWidth="1" min="3" max="3" width="28.0"/>
    <col customWidth="1" min="4" max="5" width="16.0"/>
    <col customWidth="1" hidden="1" min="6" max="6" width="22.0"/>
    <col customWidth="1" min="7" max="7" width="20.0"/>
    <col customWidth="1" min="8" max="8" width="10.0"/>
    <col customWidth="1" min="9" max="9" width="20.0"/>
    <col customWidth="1" min="10" max="10" width="12.57"/>
    <col customWidth="1" hidden="1" min="11" max="11" width="22.0"/>
    <col customWidth="1" hidden="1" min="12" max="12" width="9.71"/>
    <col customWidth="1" min="13" max="13" width="10.0"/>
    <col customWidth="1" min="14" max="14" width="14.14"/>
    <col customWidth="1" min="15" max="15" width="22.0"/>
    <col customWidth="1" min="16" max="16" width="65.29"/>
    <col customWidth="1" min="17" max="17" width="47.71"/>
    <col customWidth="1" hidden="1" min="18" max="27" width="8.71"/>
  </cols>
  <sheetData>
    <row r="1">
      <c r="A1" s="1" t="s">
        <v>69</v>
      </c>
      <c r="B1" s="1" t="s">
        <v>70</v>
      </c>
      <c r="C1" s="9" t="s">
        <v>69</v>
      </c>
      <c r="D1" s="1" t="s">
        <v>71</v>
      </c>
      <c r="E1" s="1" t="s">
        <v>72</v>
      </c>
      <c r="F1" s="1" t="s">
        <v>73</v>
      </c>
      <c r="G1" s="1" t="s">
        <v>74</v>
      </c>
      <c r="H1" s="1" t="s">
        <v>75</v>
      </c>
      <c r="I1" s="1" t="s">
        <v>76</v>
      </c>
      <c r="J1" s="1" t="s">
        <v>77</v>
      </c>
      <c r="K1" s="1" t="s">
        <v>78</v>
      </c>
      <c r="L1" s="1" t="s">
        <v>79</v>
      </c>
      <c r="M1" s="1" t="s">
        <v>80</v>
      </c>
      <c r="N1" s="1" t="s">
        <v>81</v>
      </c>
      <c r="O1" s="1" t="s">
        <v>82</v>
      </c>
      <c r="P1" s="1" t="s">
        <v>83</v>
      </c>
      <c r="Q1" s="10" t="s">
        <v>84</v>
      </c>
      <c r="R1" s="11"/>
      <c r="S1" s="11"/>
      <c r="T1" s="11"/>
      <c r="U1" s="11"/>
      <c r="V1" s="11"/>
      <c r="W1" s="11"/>
      <c r="X1" s="11"/>
      <c r="Y1" s="11"/>
      <c r="Z1" s="11"/>
      <c r="AA1" s="11"/>
    </row>
    <row r="2">
      <c r="A2" s="12">
        <v>1.0</v>
      </c>
      <c r="B2" s="12">
        <v>1.0</v>
      </c>
      <c r="C2" s="13" t="s">
        <v>85</v>
      </c>
      <c r="D2" s="13" t="s">
        <v>15</v>
      </c>
      <c r="E2" s="13" t="s">
        <v>86</v>
      </c>
      <c r="F2" s="12"/>
      <c r="G2" s="13" t="s">
        <v>87</v>
      </c>
      <c r="H2" s="13">
        <v>50.0</v>
      </c>
      <c r="I2" s="13"/>
      <c r="J2" s="13"/>
      <c r="K2" s="12"/>
      <c r="L2" s="12"/>
      <c r="M2" s="14">
        <f t="shared" ref="M2:M15" si="1">SUM(H2,J2)</f>
        <v>50</v>
      </c>
      <c r="N2" s="14">
        <f>M2</f>
        <v>50</v>
      </c>
      <c r="O2" s="13" t="s">
        <v>88</v>
      </c>
      <c r="P2" s="13" t="s">
        <v>89</v>
      </c>
      <c r="Q2" s="15" t="s">
        <v>90</v>
      </c>
      <c r="R2" s="11"/>
      <c r="S2" s="11"/>
      <c r="T2" s="11"/>
      <c r="U2" s="11"/>
      <c r="V2" s="11"/>
      <c r="W2" s="11"/>
      <c r="X2" s="11"/>
      <c r="Y2" s="11"/>
      <c r="Z2" s="11"/>
      <c r="AA2" s="11"/>
    </row>
    <row r="3">
      <c r="A3" s="12">
        <v>2.0</v>
      </c>
      <c r="B3" s="12">
        <v>1.0</v>
      </c>
      <c r="C3" s="13" t="s">
        <v>91</v>
      </c>
      <c r="D3" s="13" t="s">
        <v>15</v>
      </c>
      <c r="E3" s="13" t="s">
        <v>92</v>
      </c>
      <c r="F3" s="12"/>
      <c r="G3" s="13" t="s">
        <v>93</v>
      </c>
      <c r="H3" s="13">
        <v>25.0</v>
      </c>
      <c r="I3" s="12"/>
      <c r="J3" s="12"/>
      <c r="K3" s="12"/>
      <c r="L3" s="12"/>
      <c r="M3" s="14">
        <f t="shared" si="1"/>
        <v>25</v>
      </c>
      <c r="N3" s="12">
        <f t="shared" ref="N3:N15" si="2">N2+M3</f>
        <v>75</v>
      </c>
      <c r="O3" s="13" t="s">
        <v>94</v>
      </c>
      <c r="P3" s="13" t="s">
        <v>95</v>
      </c>
      <c r="Q3" s="15"/>
      <c r="R3" s="11"/>
      <c r="S3" s="11"/>
      <c r="T3" s="11"/>
      <c r="U3" s="11"/>
      <c r="V3" s="11"/>
      <c r="W3" s="11"/>
      <c r="X3" s="11"/>
      <c r="Y3" s="11"/>
      <c r="Z3" s="11"/>
      <c r="AA3" s="11"/>
    </row>
    <row r="4">
      <c r="A4" s="6">
        <v>3.0</v>
      </c>
      <c r="B4" s="6">
        <v>1.0</v>
      </c>
      <c r="C4" s="7" t="s">
        <v>96</v>
      </c>
      <c r="D4" s="7" t="s">
        <v>15</v>
      </c>
      <c r="E4" s="7" t="s">
        <v>97</v>
      </c>
      <c r="F4" s="6"/>
      <c r="G4" s="13" t="s">
        <v>93</v>
      </c>
      <c r="H4" s="7">
        <v>25.0</v>
      </c>
      <c r="I4" s="7" t="s">
        <v>98</v>
      </c>
      <c r="J4" s="7">
        <v>25.0</v>
      </c>
      <c r="K4" s="7"/>
      <c r="L4" s="6"/>
      <c r="M4" s="14">
        <f t="shared" si="1"/>
        <v>50</v>
      </c>
      <c r="N4" s="12">
        <f t="shared" si="2"/>
        <v>125</v>
      </c>
      <c r="O4" s="7" t="s">
        <v>99</v>
      </c>
      <c r="P4" s="7" t="s">
        <v>100</v>
      </c>
      <c r="Q4" s="16"/>
      <c r="R4" s="11"/>
      <c r="S4" s="11"/>
      <c r="T4" s="11"/>
      <c r="U4" s="11"/>
      <c r="V4" s="11"/>
      <c r="W4" s="11"/>
      <c r="X4" s="11"/>
      <c r="Y4" s="11"/>
      <c r="Z4" s="11"/>
      <c r="AA4" s="11"/>
    </row>
    <row r="5">
      <c r="A5" s="6">
        <v>4.0</v>
      </c>
      <c r="B5" s="6">
        <v>2.0</v>
      </c>
      <c r="C5" s="7" t="s">
        <v>101</v>
      </c>
      <c r="D5" s="7" t="s">
        <v>45</v>
      </c>
      <c r="E5" s="7" t="s">
        <v>102</v>
      </c>
      <c r="F5" s="17"/>
      <c r="G5" s="7" t="s">
        <v>103</v>
      </c>
      <c r="H5" s="7">
        <v>75.0</v>
      </c>
      <c r="I5" s="13" t="s">
        <v>104</v>
      </c>
      <c r="J5" s="7">
        <v>15.0</v>
      </c>
      <c r="K5" s="6"/>
      <c r="L5" s="6"/>
      <c r="M5" s="14">
        <f t="shared" si="1"/>
        <v>90</v>
      </c>
      <c r="N5" s="12">
        <f t="shared" si="2"/>
        <v>215</v>
      </c>
      <c r="O5" s="7" t="s">
        <v>105</v>
      </c>
      <c r="P5" s="7" t="s">
        <v>106</v>
      </c>
      <c r="Q5" s="7" t="s">
        <v>107</v>
      </c>
      <c r="R5" s="11"/>
      <c r="S5" s="11"/>
      <c r="T5" s="11"/>
      <c r="U5" s="11"/>
      <c r="V5" s="11"/>
      <c r="W5" s="11"/>
      <c r="X5" s="11"/>
      <c r="Y5" s="11"/>
      <c r="Z5" s="11"/>
      <c r="AA5" s="11"/>
    </row>
    <row r="6">
      <c r="A6" s="6">
        <v>5.0</v>
      </c>
      <c r="B6" s="6">
        <v>2.0</v>
      </c>
      <c r="C6" s="7" t="s">
        <v>108</v>
      </c>
      <c r="D6" s="7" t="s">
        <v>109</v>
      </c>
      <c r="E6" s="7" t="s">
        <v>110</v>
      </c>
      <c r="F6" s="6"/>
      <c r="G6" s="7" t="s">
        <v>111</v>
      </c>
      <c r="H6" s="7">
        <v>30.0</v>
      </c>
      <c r="I6" s="6"/>
      <c r="J6" s="6"/>
      <c r="K6" s="6"/>
      <c r="L6" s="6"/>
      <c r="M6" s="14">
        <f t="shared" si="1"/>
        <v>30</v>
      </c>
      <c r="N6" s="12">
        <f t="shared" si="2"/>
        <v>245</v>
      </c>
      <c r="O6" s="7" t="s">
        <v>112</v>
      </c>
      <c r="P6" s="7" t="s">
        <v>113</v>
      </c>
      <c r="Q6" s="7" t="s">
        <v>114</v>
      </c>
      <c r="R6" s="11"/>
      <c r="S6" s="11"/>
      <c r="T6" s="11"/>
      <c r="U6" s="11"/>
      <c r="V6" s="11"/>
      <c r="W6" s="11"/>
      <c r="X6" s="11"/>
      <c r="Y6" s="11"/>
      <c r="Z6" s="11"/>
      <c r="AA6" s="11"/>
    </row>
    <row r="7">
      <c r="A7" s="12">
        <v>6.0</v>
      </c>
      <c r="B7" s="12">
        <v>2.0</v>
      </c>
      <c r="C7" s="13" t="s">
        <v>115</v>
      </c>
      <c r="D7" s="13" t="s">
        <v>25</v>
      </c>
      <c r="E7" s="13" t="s">
        <v>116</v>
      </c>
      <c r="F7" s="12"/>
      <c r="G7" s="7" t="s">
        <v>93</v>
      </c>
      <c r="H7" s="13">
        <v>30.0</v>
      </c>
      <c r="I7" s="12"/>
      <c r="J7" s="12"/>
      <c r="K7" s="12"/>
      <c r="L7" s="12"/>
      <c r="M7" s="14">
        <f t="shared" si="1"/>
        <v>30</v>
      </c>
      <c r="N7" s="12">
        <f t="shared" si="2"/>
        <v>275</v>
      </c>
      <c r="O7" s="13" t="s">
        <v>117</v>
      </c>
      <c r="P7" s="13" t="s">
        <v>118</v>
      </c>
      <c r="Q7" s="13"/>
      <c r="R7" s="11"/>
      <c r="S7" s="11"/>
      <c r="T7" s="11"/>
      <c r="U7" s="11"/>
      <c r="V7" s="11"/>
      <c r="W7" s="11"/>
      <c r="X7" s="11"/>
      <c r="Y7" s="11"/>
      <c r="Z7" s="11"/>
      <c r="AA7" s="11"/>
    </row>
    <row r="8">
      <c r="A8" s="12">
        <v>7.0</v>
      </c>
      <c r="B8" s="12">
        <v>2.0</v>
      </c>
      <c r="C8" s="13" t="s">
        <v>119</v>
      </c>
      <c r="D8" s="13" t="s">
        <v>25</v>
      </c>
      <c r="E8" s="13" t="s">
        <v>120</v>
      </c>
      <c r="F8" s="12"/>
      <c r="G8" s="13" t="s">
        <v>93</v>
      </c>
      <c r="H8" s="13">
        <v>30.0</v>
      </c>
      <c r="I8" s="12"/>
      <c r="J8" s="12"/>
      <c r="K8" s="12"/>
      <c r="L8" s="12"/>
      <c r="M8" s="14">
        <f t="shared" si="1"/>
        <v>30</v>
      </c>
      <c r="N8" s="12">
        <f t="shared" si="2"/>
        <v>305</v>
      </c>
      <c r="O8" s="13" t="s">
        <v>121</v>
      </c>
      <c r="P8" s="13" t="s">
        <v>122</v>
      </c>
      <c r="Q8" s="13"/>
      <c r="R8" s="11"/>
      <c r="S8" s="11"/>
      <c r="T8" s="11"/>
      <c r="U8" s="11"/>
      <c r="V8" s="11"/>
      <c r="W8" s="11"/>
      <c r="X8" s="11"/>
      <c r="Y8" s="11"/>
      <c r="Z8" s="11"/>
      <c r="AA8" s="11"/>
    </row>
    <row r="9">
      <c r="A9" s="6">
        <v>8.0</v>
      </c>
      <c r="B9" s="6">
        <v>2.0</v>
      </c>
      <c r="C9" s="7" t="s">
        <v>123</v>
      </c>
      <c r="D9" s="7" t="s">
        <v>25</v>
      </c>
      <c r="E9" s="7" t="s">
        <v>124</v>
      </c>
      <c r="F9" s="6"/>
      <c r="G9" s="7" t="s">
        <v>93</v>
      </c>
      <c r="H9" s="7">
        <v>25.0</v>
      </c>
      <c r="I9" s="7" t="s">
        <v>125</v>
      </c>
      <c r="J9" s="7">
        <v>25.0</v>
      </c>
      <c r="K9" s="6"/>
      <c r="L9" s="6"/>
      <c r="M9" s="14">
        <f t="shared" si="1"/>
        <v>50</v>
      </c>
      <c r="N9" s="12">
        <f t="shared" si="2"/>
        <v>355</v>
      </c>
      <c r="O9" s="7" t="s">
        <v>126</v>
      </c>
      <c r="P9" s="7" t="s">
        <v>127</v>
      </c>
      <c r="Q9" s="7"/>
      <c r="R9" s="11"/>
      <c r="S9" s="11"/>
      <c r="T9" s="11"/>
      <c r="U9" s="11"/>
      <c r="V9" s="11"/>
      <c r="W9" s="11"/>
      <c r="X9" s="11"/>
      <c r="Y9" s="11"/>
      <c r="Z9" s="11"/>
      <c r="AA9" s="11"/>
    </row>
    <row r="10">
      <c r="A10" s="6">
        <v>9.0</v>
      </c>
      <c r="B10" s="6">
        <v>2.0</v>
      </c>
      <c r="C10" s="7" t="s">
        <v>128</v>
      </c>
      <c r="D10" s="7" t="s">
        <v>36</v>
      </c>
      <c r="E10" s="7" t="s">
        <v>129</v>
      </c>
      <c r="F10" s="6"/>
      <c r="G10" s="7" t="s">
        <v>130</v>
      </c>
      <c r="H10" s="7">
        <v>100.0</v>
      </c>
      <c r="I10" s="7" t="s">
        <v>104</v>
      </c>
      <c r="J10" s="7">
        <v>15.0</v>
      </c>
      <c r="K10" s="6"/>
      <c r="L10" s="6"/>
      <c r="M10" s="14">
        <f t="shared" si="1"/>
        <v>115</v>
      </c>
      <c r="N10" s="12">
        <f t="shared" si="2"/>
        <v>470</v>
      </c>
      <c r="O10" s="7" t="s">
        <v>131</v>
      </c>
      <c r="P10" s="7" t="s">
        <v>132</v>
      </c>
      <c r="Q10" s="7" t="s">
        <v>133</v>
      </c>
      <c r="R10" s="11"/>
      <c r="S10" s="11"/>
      <c r="T10" s="11"/>
      <c r="U10" s="11"/>
      <c r="V10" s="11"/>
      <c r="W10" s="11"/>
      <c r="X10" s="11"/>
      <c r="Y10" s="11"/>
      <c r="Z10" s="11"/>
      <c r="AA10" s="11"/>
    </row>
    <row r="11">
      <c r="A11" s="6">
        <v>10.0</v>
      </c>
      <c r="B11" s="6">
        <v>2.0</v>
      </c>
      <c r="C11" s="7" t="s">
        <v>134</v>
      </c>
      <c r="D11" s="7" t="s">
        <v>135</v>
      </c>
      <c r="E11" s="7" t="s">
        <v>136</v>
      </c>
      <c r="F11" s="6"/>
      <c r="G11" s="7" t="s">
        <v>93</v>
      </c>
      <c r="H11" s="7">
        <v>30.0</v>
      </c>
      <c r="I11" s="6"/>
      <c r="J11" s="6"/>
      <c r="K11" s="6"/>
      <c r="L11" s="6"/>
      <c r="M11" s="14">
        <f t="shared" si="1"/>
        <v>30</v>
      </c>
      <c r="N11" s="12">
        <f t="shared" si="2"/>
        <v>500</v>
      </c>
      <c r="O11" s="7" t="s">
        <v>137</v>
      </c>
      <c r="P11" s="7" t="s">
        <v>138</v>
      </c>
      <c r="Q11" s="7"/>
      <c r="R11" s="11"/>
      <c r="S11" s="11"/>
      <c r="T11" s="11"/>
      <c r="U11" s="11"/>
      <c r="V11" s="11"/>
      <c r="W11" s="11"/>
      <c r="X11" s="11"/>
      <c r="Y11" s="11"/>
      <c r="Z11" s="11"/>
      <c r="AA11" s="11"/>
    </row>
    <row r="12">
      <c r="A12" s="6">
        <v>11.0</v>
      </c>
      <c r="B12" s="6">
        <v>2.0</v>
      </c>
      <c r="C12" s="7" t="s">
        <v>139</v>
      </c>
      <c r="D12" s="7" t="s">
        <v>140</v>
      </c>
      <c r="E12" s="7" t="s">
        <v>141</v>
      </c>
      <c r="F12" s="6"/>
      <c r="G12" s="7" t="s">
        <v>111</v>
      </c>
      <c r="H12" s="7">
        <v>20.0</v>
      </c>
      <c r="I12" s="7" t="s">
        <v>104</v>
      </c>
      <c r="J12" s="7">
        <v>10.0</v>
      </c>
      <c r="K12" s="6"/>
      <c r="L12" s="6"/>
      <c r="M12" s="14">
        <f t="shared" si="1"/>
        <v>30</v>
      </c>
      <c r="N12" s="12">
        <f t="shared" si="2"/>
        <v>530</v>
      </c>
      <c r="O12" s="7" t="s">
        <v>142</v>
      </c>
      <c r="P12" s="7" t="s">
        <v>143</v>
      </c>
      <c r="Q12" s="7" t="s">
        <v>144</v>
      </c>
      <c r="R12" s="11"/>
      <c r="S12" s="11"/>
      <c r="T12" s="11"/>
      <c r="U12" s="11"/>
      <c r="V12" s="11"/>
      <c r="W12" s="11"/>
      <c r="X12" s="11"/>
      <c r="Y12" s="11"/>
      <c r="Z12" s="11"/>
      <c r="AA12" s="11"/>
    </row>
    <row r="13">
      <c r="A13" s="6">
        <v>12.0</v>
      </c>
      <c r="B13" s="6">
        <v>2.0</v>
      </c>
      <c r="C13" s="7" t="s">
        <v>145</v>
      </c>
      <c r="D13" s="7" t="s">
        <v>146</v>
      </c>
      <c r="E13" s="7" t="s">
        <v>147</v>
      </c>
      <c r="F13" s="6"/>
      <c r="G13" s="7" t="s">
        <v>103</v>
      </c>
      <c r="H13" s="7">
        <v>75.0</v>
      </c>
      <c r="I13" s="7" t="s">
        <v>111</v>
      </c>
      <c r="J13" s="7">
        <v>15.0</v>
      </c>
      <c r="K13" s="6"/>
      <c r="L13" s="6"/>
      <c r="M13" s="14">
        <f t="shared" si="1"/>
        <v>90</v>
      </c>
      <c r="N13" s="12">
        <f t="shared" si="2"/>
        <v>620</v>
      </c>
      <c r="O13" s="7" t="s">
        <v>148</v>
      </c>
      <c r="P13" s="7" t="s">
        <v>149</v>
      </c>
      <c r="Q13" s="7" t="s">
        <v>150</v>
      </c>
      <c r="R13" s="11"/>
      <c r="S13" s="11"/>
      <c r="T13" s="11"/>
      <c r="U13" s="11"/>
      <c r="V13" s="11"/>
      <c r="W13" s="11"/>
      <c r="X13" s="11"/>
      <c r="Y13" s="11"/>
      <c r="Z13" s="11"/>
      <c r="AA13" s="11"/>
    </row>
    <row r="14">
      <c r="A14" s="6">
        <v>13.0</v>
      </c>
      <c r="B14" s="6">
        <v>3.0</v>
      </c>
      <c r="C14" s="7" t="s">
        <v>151</v>
      </c>
      <c r="D14" s="7" t="s">
        <v>63</v>
      </c>
      <c r="E14" s="7" t="s">
        <v>152</v>
      </c>
      <c r="F14" s="6"/>
      <c r="G14" s="7" t="s">
        <v>111</v>
      </c>
      <c r="H14" s="7">
        <v>30.0</v>
      </c>
      <c r="I14" s="6"/>
      <c r="J14" s="6"/>
      <c r="K14" s="6"/>
      <c r="L14" s="6"/>
      <c r="M14" s="14">
        <f t="shared" si="1"/>
        <v>30</v>
      </c>
      <c r="N14" s="12">
        <f t="shared" si="2"/>
        <v>650</v>
      </c>
      <c r="O14" s="7" t="s">
        <v>153</v>
      </c>
      <c r="P14" s="7" t="s">
        <v>154</v>
      </c>
      <c r="Q14" s="7" t="s">
        <v>155</v>
      </c>
      <c r="R14" s="11"/>
      <c r="S14" s="11"/>
      <c r="T14" s="11"/>
      <c r="U14" s="11"/>
      <c r="V14" s="11"/>
      <c r="W14" s="11"/>
      <c r="X14" s="11"/>
      <c r="Y14" s="11"/>
      <c r="Z14" s="11"/>
      <c r="AA14" s="11"/>
    </row>
    <row r="15">
      <c r="A15" s="18">
        <v>14.0</v>
      </c>
      <c r="B15" s="18">
        <v>3.0</v>
      </c>
      <c r="C15" s="19" t="s">
        <v>156</v>
      </c>
      <c r="D15" s="19" t="s">
        <v>157</v>
      </c>
      <c r="E15" s="18"/>
      <c r="F15" s="18"/>
      <c r="G15" s="19" t="s">
        <v>158</v>
      </c>
      <c r="H15" s="19">
        <v>350.0</v>
      </c>
      <c r="I15" s="18"/>
      <c r="J15" s="18"/>
      <c r="K15" s="18"/>
      <c r="L15" s="18"/>
      <c r="M15" s="18">
        <f t="shared" si="1"/>
        <v>350</v>
      </c>
      <c r="N15" s="18">
        <f t="shared" si="2"/>
        <v>1000</v>
      </c>
      <c r="O15" s="19" t="s">
        <v>159</v>
      </c>
      <c r="P15" s="19" t="s">
        <v>160</v>
      </c>
      <c r="Q15" s="20"/>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21" t="s">
        <v>161</v>
      </c>
      <c r="F17" s="11"/>
      <c r="G17" s="11"/>
      <c r="H17" s="22">
        <f>SUM(H2:H15)</f>
        <v>895</v>
      </c>
      <c r="I17" s="11"/>
      <c r="J17" s="22">
        <f>SUM(J2:J15)</f>
        <v>105</v>
      </c>
      <c r="K17" s="11"/>
      <c r="L17" s="22">
        <f t="shared" ref="L17:M17" si="3">SUM(L2:L15)</f>
        <v>0</v>
      </c>
      <c r="M17" s="22">
        <f t="shared" si="3"/>
        <v>1000</v>
      </c>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23" t="s">
        <v>162</v>
      </c>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24" t="s">
        <v>163</v>
      </c>
      <c r="C20" s="11"/>
      <c r="D20" s="11"/>
      <c r="E20" s="21" t="str">
        <f>IF(M17=1000,"PASS","FAIL: "&amp;M17&amp;" pts")</f>
        <v>PASS</v>
      </c>
      <c r="F20" s="11"/>
      <c r="G20" s="11"/>
      <c r="H20" s="11"/>
      <c r="I20" s="11"/>
      <c r="J20" s="11"/>
      <c r="K20" s="11"/>
      <c r="L20" s="11"/>
      <c r="M20" s="11"/>
      <c r="N20" s="11"/>
      <c r="O20" s="11"/>
      <c r="P20" s="11"/>
      <c r="Q20" s="11"/>
      <c r="R20" s="11"/>
      <c r="S20" s="11"/>
      <c r="T20" s="11"/>
      <c r="U20" s="11"/>
      <c r="V20" s="11"/>
      <c r="W20" s="11"/>
      <c r="X20" s="11"/>
      <c r="Y20" s="11"/>
      <c r="Z20" s="11"/>
      <c r="AA20" s="11"/>
    </row>
    <row r="21" ht="15.75" customHeight="1">
      <c r="A21" s="11"/>
      <c r="B21" s="24" t="s">
        <v>164</v>
      </c>
      <c r="C21" s="11"/>
      <c r="D21" s="11"/>
      <c r="E21" s="21" t="str">
        <f>IF(AND(H15&gt;=350,H15&lt;=450),"PASS","FAIL: "&amp;H15&amp;" pts")</f>
        <v>PASS</v>
      </c>
      <c r="F21" s="11"/>
      <c r="G21" s="11"/>
      <c r="H21" s="11"/>
      <c r="I21" s="11"/>
      <c r="J21" s="11"/>
      <c r="K21" s="11"/>
      <c r="L21" s="11"/>
      <c r="M21" s="11"/>
      <c r="N21" s="11"/>
      <c r="O21" s="11"/>
      <c r="P21" s="11"/>
      <c r="Q21" s="11"/>
      <c r="R21" s="11"/>
      <c r="S21" s="11"/>
      <c r="T21" s="11"/>
      <c r="U21" s="11"/>
      <c r="V21" s="11"/>
      <c r="W21" s="11"/>
      <c r="X21" s="11"/>
      <c r="Y21" s="11"/>
      <c r="Z21" s="11"/>
      <c r="AA21" s="11"/>
    </row>
    <row r="22" ht="15.75" customHeight="1">
      <c r="A22" s="11"/>
      <c r="B22" s="24" t="s">
        <v>165</v>
      </c>
      <c r="C22" s="11"/>
      <c r="D22" s="11"/>
      <c r="E22" s="21" t="str">
        <f>IF(AND(H10&gt;=100,H10&lt;=200),"PASS","FAIL: "&amp;H10&amp;" pts")</f>
        <v>PASS</v>
      </c>
      <c r="F22" s="11"/>
      <c r="G22" s="11"/>
      <c r="H22" s="11"/>
      <c r="I22" s="11"/>
      <c r="J22" s="11"/>
      <c r="K22" s="11"/>
      <c r="L22" s="11"/>
      <c r="M22" s="11"/>
      <c r="N22" s="11"/>
      <c r="O22" s="11"/>
      <c r="P22" s="11"/>
      <c r="Q22" s="11"/>
      <c r="R22" s="11"/>
      <c r="S22" s="11"/>
      <c r="T22" s="11"/>
      <c r="U22" s="11"/>
      <c r="V22" s="11"/>
      <c r="W22" s="11"/>
      <c r="X22" s="11"/>
      <c r="Y22" s="11"/>
      <c r="Z22" s="11"/>
      <c r="AA22" s="11"/>
    </row>
    <row r="23" ht="15.75" customHeight="1">
      <c r="A23" s="11"/>
      <c r="B23" s="24" t="s">
        <v>166</v>
      </c>
      <c r="C23" s="11"/>
      <c r="D23" s="11"/>
      <c r="E23" s="21" t="str">
        <f>IF(SUM(M2:M4)&lt;=250,"PASS","FAIL: "&amp;SUM(M2:M4)&amp;" pts")</f>
        <v>PASS</v>
      </c>
      <c r="F23" s="11"/>
      <c r="G23" s="11"/>
      <c r="H23" s="11"/>
      <c r="I23" s="25" t="s">
        <v>167</v>
      </c>
      <c r="J23" s="11"/>
      <c r="K23" s="11"/>
      <c r="L23" s="11"/>
      <c r="M23" s="11"/>
      <c r="N23" s="11"/>
      <c r="O23" s="11"/>
      <c r="P23" s="11"/>
      <c r="Q23" s="11"/>
      <c r="R23" s="11"/>
      <c r="S23" s="11"/>
      <c r="T23" s="11"/>
      <c r="U23" s="11"/>
      <c r="V23" s="11"/>
      <c r="W23" s="11"/>
      <c r="X23" s="11"/>
      <c r="Y23" s="11"/>
      <c r="Z23" s="11"/>
      <c r="AA23" s="11"/>
    </row>
    <row r="24" ht="15.75" customHeight="1">
      <c r="A24" s="11"/>
      <c r="B24" s="24" t="s">
        <v>168</v>
      </c>
      <c r="C24" s="11"/>
      <c r="D24" s="11"/>
      <c r="E24" s="21" t="str">
        <f>IF(COUNTA(I2:I15)&lt;=5,"PASS","FAIL: "&amp;COUNTA(I2:I15)&amp;" units")</f>
        <v>FAIL: 6 units</v>
      </c>
      <c r="F24" s="11"/>
      <c r="G24" s="11"/>
      <c r="H24" s="11"/>
      <c r="I24" s="11" t="str">
        <f t="array" ref="I24:I29">UNIQUE(G2:G15)</f>
        <v>Onboarding</v>
      </c>
      <c r="J24" s="11">
        <f>IFERROR(__xludf.DUMMYFUNCTION("Sum(filter($H$2:$H$15,$G$2:$G$15=I24))+SUM(IFERROR(FILTER($J$2:$J$15,$I$2:$I$15=I24),0))"),50.0)</f>
        <v>50</v>
      </c>
      <c r="K24" s="11"/>
      <c r="L24" s="11"/>
      <c r="M24" s="11"/>
      <c r="N24" s="25" t="s">
        <v>87</v>
      </c>
      <c r="O24" s="25">
        <v>50.0</v>
      </c>
      <c r="P24" s="11"/>
      <c r="Q24" s="11"/>
      <c r="R24" s="11"/>
      <c r="S24" s="11"/>
      <c r="T24" s="11"/>
      <c r="U24" s="11"/>
      <c r="V24" s="11"/>
      <c r="W24" s="11"/>
      <c r="X24" s="11"/>
      <c r="Y24" s="11"/>
      <c r="Z24" s="11"/>
      <c r="AA24" s="11"/>
    </row>
    <row r="25" ht="15.75" customHeight="1">
      <c r="A25" s="11"/>
      <c r="B25" s="24" t="s">
        <v>169</v>
      </c>
      <c r="C25" s="11"/>
      <c r="D25" s="11"/>
      <c r="E25" s="21" t="str">
        <f>IF(MAX(J2:J15)&lt;=15,"PASS","FAIL: max "&amp;MAX(J2:J15)&amp;" pts")</f>
        <v>FAIL: max 25 pts</v>
      </c>
      <c r="F25" s="11"/>
      <c r="G25" s="11"/>
      <c r="H25" s="11"/>
      <c r="I25" s="11" t="s">
        <v>93</v>
      </c>
      <c r="J25" s="11">
        <f>IFERROR(__xludf.DUMMYFUNCTION("Sum(filter($H$2:$H$15,$G$2:$G$15=I25))+SUM(IFERROR(FILTER($J$2:$J$15,$I$2:$I$15=I25),0))"),165.0)</f>
        <v>165</v>
      </c>
      <c r="K25" s="11"/>
      <c r="L25" s="11"/>
      <c r="M25" s="11"/>
      <c r="N25" s="25" t="s">
        <v>170</v>
      </c>
      <c r="O25" s="25">
        <v>260.0</v>
      </c>
      <c r="P25" s="11"/>
      <c r="Q25" s="11"/>
      <c r="R25" s="11"/>
      <c r="S25" s="11"/>
      <c r="T25" s="11"/>
      <c r="U25" s="11"/>
      <c r="V25" s="11"/>
      <c r="W25" s="11"/>
      <c r="X25" s="11"/>
      <c r="Y25" s="11"/>
      <c r="Z25" s="11"/>
      <c r="AA25" s="11"/>
    </row>
    <row r="26" ht="15.75" customHeight="1">
      <c r="A26" s="11"/>
      <c r="B26" s="24" t="s">
        <v>171</v>
      </c>
      <c r="C26" s="11"/>
      <c r="D26" s="11"/>
      <c r="E26" s="21" t="str">
        <f>IF(AND(I8="",L8=""),"PASS","FAIL: extra assessment found")</f>
        <v>PASS</v>
      </c>
      <c r="F26" s="11"/>
      <c r="G26" s="11"/>
      <c r="H26" s="11"/>
      <c r="I26" s="11" t="s">
        <v>103</v>
      </c>
      <c r="J26" s="11">
        <f>IFERROR(__xludf.DUMMYFUNCTION("Sum(filter($H$2:$H$15,$G$2:$G$15=I26))+SUM(IFERROR(FILTER($J$2:$J$15,$I$2:$I$15=I26),0))"),150.0)</f>
        <v>150</v>
      </c>
      <c r="K26" s="11"/>
      <c r="L26" s="11"/>
      <c r="M26" s="11"/>
      <c r="N26" s="25" t="s">
        <v>172</v>
      </c>
      <c r="O26" s="25">
        <v>40.0</v>
      </c>
      <c r="P26" s="11"/>
      <c r="Q26" s="11"/>
      <c r="R26" s="11"/>
      <c r="S26" s="11"/>
      <c r="T26" s="11"/>
      <c r="U26" s="11"/>
      <c r="V26" s="11"/>
      <c r="W26" s="11"/>
      <c r="X26" s="11"/>
      <c r="Y26" s="11"/>
      <c r="Z26" s="11"/>
      <c r="AA26" s="11"/>
    </row>
    <row r="27" ht="15.75" customHeight="1">
      <c r="A27" s="11"/>
      <c r="B27" s="24" t="s">
        <v>173</v>
      </c>
      <c r="C27" s="11"/>
      <c r="D27" s="11"/>
      <c r="E27" s="21" t="str">
        <f>IF(AND(I15="",L15=""),"PASS","FAIL: extra assessment found")</f>
        <v>PASS</v>
      </c>
      <c r="F27" s="11"/>
      <c r="G27" s="11"/>
      <c r="H27" s="11"/>
      <c r="I27" s="11" t="s">
        <v>111</v>
      </c>
      <c r="J27" s="11">
        <f>IFERROR(__xludf.DUMMYFUNCTION("Sum(filter($H$2:$H$15,$G$2:$G$15=I27))+SUM(IFERROR(FILTER($J$2:$J$15,$I$2:$I$15=I27),0))"),95.0)</f>
        <v>95</v>
      </c>
      <c r="K27" s="11"/>
      <c r="L27" s="11"/>
      <c r="M27" s="11"/>
      <c r="N27" s="8" t="s">
        <v>174</v>
      </c>
      <c r="O27" s="8">
        <v>50.0</v>
      </c>
      <c r="P27" s="11"/>
      <c r="Q27" s="11"/>
      <c r="R27" s="11"/>
      <c r="S27" s="11"/>
      <c r="T27" s="11"/>
      <c r="U27" s="11"/>
      <c r="V27" s="11"/>
      <c r="W27" s="11"/>
      <c r="X27" s="11"/>
      <c r="Y27" s="11"/>
      <c r="Z27" s="11"/>
      <c r="AA27" s="11"/>
    </row>
    <row r="28" ht="15.75" customHeight="1">
      <c r="A28" s="11"/>
      <c r="B28" s="24" t="s">
        <v>175</v>
      </c>
      <c r="C28" s="11"/>
      <c r="D28" s="11"/>
      <c r="E28" s="21" t="str">
        <f>IF(COUNTIF(G2:G15,"Problem Set")&gt;=9,"PASS","INFO: "&amp;COUNTIF(G2:G15,"Problem Set")&amp;" problem sets (need 9+)")</f>
        <v>INFO: 6 problem sets (need 9+)</v>
      </c>
      <c r="F28" s="11"/>
      <c r="G28" s="11"/>
      <c r="H28" s="11"/>
      <c r="I28" s="11" t="s">
        <v>130</v>
      </c>
      <c r="J28" s="11">
        <f>IFERROR(__xludf.DUMMYFUNCTION("Sum(filter($H$2:$H$15,$G$2:$G$15=I28))+SUM(IFERROR(FILTER($J$2:$J$15,$I$2:$I$15=I28),0))"),100.0)</f>
        <v>100</v>
      </c>
      <c r="K28" s="11"/>
      <c r="L28" s="11"/>
      <c r="M28" s="11"/>
      <c r="N28" s="25" t="s">
        <v>176</v>
      </c>
      <c r="O28" s="25">
        <v>250.0</v>
      </c>
      <c r="P28" s="11"/>
      <c r="Q28" s="11"/>
      <c r="R28" s="11"/>
      <c r="S28" s="11"/>
      <c r="T28" s="11"/>
      <c r="U28" s="11"/>
      <c r="V28" s="11"/>
      <c r="W28" s="11"/>
      <c r="X28" s="11"/>
      <c r="Y28" s="11"/>
      <c r="Z28" s="11"/>
      <c r="AA28" s="11"/>
    </row>
    <row r="29" ht="15.75" customHeight="1">
      <c r="A29" s="11"/>
      <c r="B29" s="24" t="s">
        <v>177</v>
      </c>
      <c r="C29" s="11"/>
      <c r="D29" s="11"/>
      <c r="E29" s="21" t="str">
        <f>IF(ISNUMBER(SEARCH("(B)",F7)),"PASS","FAIL: no (B) skill in Unit 6")</f>
        <v>FAIL: no (B) skill in Unit 6</v>
      </c>
      <c r="F29" s="11"/>
      <c r="G29" s="11"/>
      <c r="H29" s="11"/>
      <c r="I29" s="11" t="s">
        <v>158</v>
      </c>
      <c r="J29" s="11">
        <f>IFERROR(__xludf.DUMMYFUNCTION("Sum(filter($H$2:$H$15,$G$2:$G$15=I29))+SUM(IFERROR(FILTER($J$2:$J$15,$I$2:$I$15=I29),0))"),350.0)</f>
        <v>350</v>
      </c>
      <c r="K29" s="11"/>
      <c r="L29" s="11"/>
      <c r="M29" s="11"/>
      <c r="N29" s="25" t="s">
        <v>158</v>
      </c>
      <c r="O29" s="25">
        <v>350.0</v>
      </c>
      <c r="P29" s="11"/>
      <c r="Q29" s="11"/>
      <c r="R29" s="11"/>
      <c r="S29" s="11"/>
      <c r="T29" s="11"/>
      <c r="U29" s="11"/>
      <c r="V29" s="11"/>
      <c r="W29" s="11"/>
      <c r="X29" s="11"/>
      <c r="Y29" s="11"/>
      <c r="Z29" s="11"/>
      <c r="AA29" s="11"/>
    </row>
    <row r="30" ht="15.75" customHeight="1">
      <c r="A30" s="11"/>
      <c r="B30" s="11"/>
      <c r="C30" s="11"/>
      <c r="D30" s="11"/>
      <c r="E30" s="11"/>
      <c r="F30" s="11"/>
      <c r="G30" s="11"/>
      <c r="H30" s="11"/>
      <c r="I30" s="25" t="s">
        <v>104</v>
      </c>
      <c r="J30" s="11">
        <f>IFERROR(__xludf.DUMMYFUNCTION("SUM(IFERROR(FILTER($J$2:$J$15,$I$2:$I$15=I30),0))"),40.0)</f>
        <v>40</v>
      </c>
      <c r="K30" s="11"/>
      <c r="L30" s="11"/>
      <c r="M30" s="11"/>
      <c r="N30" s="11"/>
      <c r="O30" s="11"/>
      <c r="P30" s="11"/>
      <c r="Q30" s="11"/>
      <c r="R30" s="11"/>
      <c r="S30" s="11"/>
      <c r="T30" s="11"/>
      <c r="U30" s="11"/>
      <c r="V30" s="11"/>
      <c r="W30" s="11"/>
      <c r="X30" s="11"/>
      <c r="Y30" s="11"/>
      <c r="Z30" s="11"/>
      <c r="AA30" s="11"/>
    </row>
    <row r="31" ht="15.75" customHeight="1">
      <c r="A31" s="11"/>
      <c r="B31" s="11"/>
      <c r="C31" s="11"/>
      <c r="D31" s="11"/>
      <c r="E31" s="11"/>
      <c r="F31" s="11"/>
      <c r="G31" s="11"/>
      <c r="H31" s="11"/>
      <c r="I31" s="25" t="s">
        <v>174</v>
      </c>
      <c r="J31" s="25">
        <v>50.0</v>
      </c>
      <c r="K31" s="11"/>
      <c r="L31" s="11"/>
      <c r="M31" s="11"/>
      <c r="N31" s="11"/>
      <c r="O31" s="11"/>
      <c r="P31" s="11"/>
      <c r="Q31" s="11"/>
      <c r="R31" s="11"/>
      <c r="S31" s="11"/>
      <c r="T31" s="11"/>
      <c r="U31" s="11"/>
      <c r="V31" s="11"/>
      <c r="W31" s="11"/>
      <c r="X31" s="11"/>
      <c r="Y31" s="11"/>
      <c r="Z31" s="11"/>
      <c r="AA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ht="15.75" customHeight="1">
      <c r="A35" s="11"/>
      <c r="B35" s="11"/>
      <c r="C35" s="11"/>
      <c r="D35" s="11"/>
      <c r="E35" s="11"/>
      <c r="F35" s="11"/>
      <c r="G35" s="11"/>
      <c r="H35" s="11"/>
      <c r="I35" s="26"/>
      <c r="J35" s="11"/>
      <c r="K35" s="11"/>
      <c r="L35" s="11"/>
      <c r="M35" s="11"/>
      <c r="N35" s="11"/>
      <c r="O35" s="11"/>
      <c r="P35" s="11"/>
      <c r="Q35" s="11"/>
      <c r="R35" s="11"/>
      <c r="S35" s="11"/>
      <c r="T35" s="11"/>
      <c r="U35" s="11"/>
      <c r="V35" s="11"/>
      <c r="W35" s="11"/>
      <c r="X35" s="11"/>
      <c r="Y35" s="11"/>
      <c r="Z35" s="11"/>
      <c r="AA35" s="11"/>
    </row>
    <row r="36" ht="15.75" customHeight="1">
      <c r="A36" s="11"/>
      <c r="B36" s="11"/>
      <c r="C36" s="11"/>
      <c r="D36" s="11"/>
      <c r="E36" s="11"/>
      <c r="F36" s="11"/>
      <c r="G36" s="11"/>
      <c r="H36" s="11"/>
      <c r="I36" s="26"/>
      <c r="J36" s="11"/>
      <c r="K36" s="11"/>
      <c r="L36" s="11"/>
      <c r="M36" s="11"/>
      <c r="N36" s="11"/>
      <c r="O36" s="11"/>
      <c r="P36" s="11"/>
      <c r="Q36" s="11"/>
      <c r="R36" s="11"/>
      <c r="S36" s="11"/>
      <c r="T36" s="11"/>
      <c r="U36" s="11"/>
      <c r="V36" s="11"/>
      <c r="W36" s="11"/>
      <c r="X36" s="11"/>
      <c r="Y36" s="11"/>
      <c r="Z36" s="11"/>
      <c r="AA36" s="11"/>
    </row>
    <row r="37" ht="15.75" customHeight="1">
      <c r="A37" s="11"/>
      <c r="B37" s="11"/>
      <c r="C37" s="11"/>
      <c r="D37" s="11"/>
      <c r="E37" s="11"/>
      <c r="F37" s="11"/>
      <c r="G37" s="11"/>
      <c r="H37" s="11"/>
      <c r="I37" s="27"/>
      <c r="J37" s="11"/>
      <c r="K37" s="11"/>
      <c r="L37" s="11"/>
      <c r="M37" s="11"/>
      <c r="N37" s="11"/>
      <c r="O37" s="11"/>
      <c r="P37" s="11"/>
      <c r="Q37" s="11"/>
      <c r="R37" s="11"/>
      <c r="S37" s="11"/>
      <c r="T37" s="11"/>
      <c r="U37" s="11"/>
      <c r="V37" s="11"/>
      <c r="W37" s="11"/>
      <c r="X37" s="11"/>
      <c r="Y37" s="11"/>
      <c r="Z37" s="11"/>
      <c r="AA37" s="11"/>
    </row>
    <row r="38" ht="15.75" customHeight="1">
      <c r="A38" s="11"/>
      <c r="B38" s="11"/>
      <c r="C38" s="11"/>
      <c r="D38" s="11"/>
      <c r="E38" s="11"/>
      <c r="F38" s="11"/>
      <c r="G38" s="11"/>
      <c r="H38" s="11"/>
      <c r="I38" s="26"/>
      <c r="J38" s="11"/>
      <c r="K38" s="11"/>
      <c r="L38" s="11"/>
      <c r="M38" s="11"/>
      <c r="N38" s="11"/>
      <c r="O38" s="11"/>
      <c r="P38" s="11"/>
      <c r="Q38" s="11"/>
      <c r="R38" s="11"/>
      <c r="S38" s="11"/>
      <c r="T38" s="11"/>
      <c r="U38" s="11"/>
      <c r="V38" s="11"/>
      <c r="W38" s="11"/>
      <c r="X38" s="11"/>
      <c r="Y38" s="11"/>
      <c r="Z38" s="11"/>
      <c r="AA38" s="11"/>
    </row>
    <row r="39" ht="15.75" customHeight="1">
      <c r="A39" s="11"/>
      <c r="B39" s="11"/>
      <c r="C39" s="11"/>
      <c r="D39" s="11"/>
      <c r="E39" s="11"/>
      <c r="F39" s="11"/>
      <c r="G39" s="11"/>
      <c r="H39" s="11"/>
      <c r="I39" s="27"/>
      <c r="J39" s="11"/>
      <c r="K39" s="11"/>
      <c r="L39" s="11"/>
      <c r="M39" s="11"/>
      <c r="N39" s="11"/>
      <c r="O39" s="11"/>
      <c r="P39" s="11"/>
      <c r="Q39" s="11"/>
      <c r="R39" s="11"/>
      <c r="S39" s="11"/>
      <c r="T39" s="11"/>
      <c r="U39" s="11"/>
      <c r="V39" s="11"/>
      <c r="W39" s="11"/>
      <c r="X39" s="11"/>
      <c r="Y39" s="11"/>
      <c r="Z39" s="11"/>
      <c r="AA39" s="11"/>
    </row>
    <row r="40" ht="15.75" customHeight="1">
      <c r="A40" s="11"/>
      <c r="B40" s="11"/>
      <c r="C40" s="11"/>
      <c r="D40" s="11"/>
      <c r="E40" s="11"/>
      <c r="F40" s="11"/>
      <c r="G40" s="11"/>
      <c r="H40" s="11"/>
      <c r="I40" s="27"/>
      <c r="J40" s="11"/>
      <c r="K40" s="11"/>
      <c r="L40" s="11"/>
      <c r="M40" s="11"/>
      <c r="N40" s="11"/>
      <c r="O40" s="11"/>
      <c r="P40" s="11"/>
      <c r="Q40" s="11"/>
      <c r="R40" s="11"/>
      <c r="S40" s="11"/>
      <c r="T40" s="11"/>
      <c r="U40" s="11"/>
      <c r="V40" s="11"/>
      <c r="W40" s="11"/>
      <c r="X40" s="11"/>
      <c r="Y40" s="11"/>
      <c r="Z40" s="11"/>
      <c r="AA40" s="11"/>
    </row>
    <row r="41" ht="15.75" customHeight="1">
      <c r="A41" s="11"/>
      <c r="B41" s="11"/>
      <c r="C41" s="11"/>
      <c r="D41" s="11"/>
      <c r="E41" s="11"/>
      <c r="F41" s="11"/>
      <c r="G41" s="11"/>
      <c r="H41" s="11"/>
      <c r="I41" s="26"/>
      <c r="J41" s="11"/>
      <c r="K41" s="11"/>
      <c r="L41" s="11"/>
      <c r="M41" s="11"/>
      <c r="N41" s="11"/>
      <c r="O41" s="11"/>
      <c r="P41" s="11"/>
      <c r="Q41" s="11"/>
      <c r="R41" s="11"/>
      <c r="S41" s="11"/>
      <c r="T41" s="11"/>
      <c r="U41" s="11"/>
      <c r="V41" s="11"/>
      <c r="W41" s="11"/>
      <c r="X41" s="11"/>
      <c r="Y41" s="11"/>
      <c r="Z41" s="11"/>
      <c r="AA41" s="11"/>
    </row>
    <row r="42" ht="15.75" customHeight="1">
      <c r="A42" s="11"/>
      <c r="B42" s="11"/>
      <c r="C42" s="11"/>
      <c r="D42" s="11"/>
      <c r="E42" s="11"/>
      <c r="F42" s="11"/>
      <c r="G42" s="11"/>
      <c r="H42" s="11"/>
      <c r="I42" s="27"/>
      <c r="J42" s="11"/>
      <c r="K42" s="11"/>
      <c r="L42" s="11"/>
      <c r="M42" s="11"/>
      <c r="N42" s="11"/>
      <c r="O42" s="11"/>
      <c r="P42" s="11"/>
      <c r="Q42" s="11"/>
      <c r="R42" s="11"/>
      <c r="S42" s="11"/>
      <c r="T42" s="11"/>
      <c r="U42" s="11"/>
      <c r="V42" s="11"/>
      <c r="W42" s="11"/>
      <c r="X42" s="11"/>
      <c r="Y42" s="11"/>
      <c r="Z42" s="11"/>
      <c r="AA42" s="11"/>
    </row>
    <row r="43" ht="15.75" customHeight="1">
      <c r="A43" s="11"/>
      <c r="B43" s="11"/>
      <c r="C43" s="11"/>
      <c r="D43" s="11"/>
      <c r="E43" s="11"/>
      <c r="F43" s="11"/>
      <c r="G43" s="11"/>
      <c r="H43" s="11"/>
      <c r="I43" s="27"/>
      <c r="J43" s="11"/>
      <c r="K43" s="11"/>
      <c r="L43" s="11"/>
      <c r="M43" s="11"/>
      <c r="N43" s="11"/>
      <c r="O43" s="11"/>
      <c r="P43" s="11"/>
      <c r="Q43" s="11"/>
      <c r="R43" s="11"/>
      <c r="S43" s="11"/>
      <c r="T43" s="11"/>
      <c r="U43" s="11"/>
      <c r="V43" s="11"/>
      <c r="W43" s="11"/>
      <c r="X43" s="11"/>
      <c r="Y43" s="11"/>
      <c r="Z43" s="11"/>
      <c r="AA43" s="11"/>
    </row>
    <row r="44" ht="15.75" customHeight="1">
      <c r="A44" s="11"/>
      <c r="B44" s="11"/>
      <c r="C44" s="11"/>
      <c r="D44" s="11"/>
      <c r="E44" s="11"/>
      <c r="F44" s="11"/>
      <c r="G44" s="11"/>
      <c r="H44" s="11"/>
      <c r="I44" s="26"/>
      <c r="J44" s="11"/>
      <c r="K44" s="11"/>
      <c r="L44" s="11"/>
      <c r="M44" s="11"/>
      <c r="N44" s="11"/>
      <c r="O44" s="11"/>
      <c r="P44" s="11"/>
      <c r="Q44" s="11"/>
      <c r="R44" s="11"/>
      <c r="S44" s="11"/>
      <c r="T44" s="11"/>
      <c r="U44" s="11"/>
      <c r="V44" s="11"/>
      <c r="W44" s="11"/>
      <c r="X44" s="11"/>
      <c r="Y44" s="11"/>
      <c r="Z44" s="11"/>
      <c r="AA44" s="11"/>
    </row>
    <row r="45" ht="15.75" customHeight="1">
      <c r="A45" s="11"/>
      <c r="B45" s="11"/>
      <c r="C45" s="11"/>
      <c r="D45" s="11"/>
      <c r="E45" s="11"/>
      <c r="F45" s="11"/>
      <c r="G45" s="11"/>
      <c r="H45" s="11"/>
      <c r="I45" s="26"/>
      <c r="J45" s="11"/>
      <c r="K45" s="11"/>
      <c r="L45" s="11"/>
      <c r="M45" s="11"/>
      <c r="N45" s="11"/>
      <c r="O45" s="11"/>
      <c r="P45" s="11"/>
      <c r="Q45" s="11"/>
      <c r="R45" s="11"/>
      <c r="S45" s="11"/>
      <c r="T45" s="11"/>
      <c r="U45" s="11"/>
      <c r="V45" s="11"/>
      <c r="W45" s="11"/>
      <c r="X45" s="11"/>
      <c r="Y45" s="11"/>
      <c r="Z45" s="11"/>
      <c r="AA45" s="11"/>
    </row>
    <row r="46" ht="15.75" customHeight="1">
      <c r="A46" s="11"/>
      <c r="B46" s="11"/>
      <c r="C46" s="11"/>
      <c r="D46" s="11"/>
      <c r="E46" s="11"/>
      <c r="F46" s="11"/>
      <c r="G46" s="11"/>
      <c r="H46" s="11"/>
      <c r="I46" s="26"/>
      <c r="J46" s="11"/>
      <c r="K46" s="11"/>
      <c r="L46" s="11"/>
      <c r="M46" s="11"/>
      <c r="N46" s="11"/>
      <c r="O46" s="11"/>
      <c r="P46" s="11"/>
      <c r="Q46" s="11"/>
      <c r="R46" s="11"/>
      <c r="S46" s="11"/>
      <c r="T46" s="11"/>
      <c r="U46" s="11"/>
      <c r="V46" s="11"/>
      <c r="W46" s="11"/>
      <c r="X46" s="11"/>
      <c r="Y46" s="11"/>
      <c r="Z46" s="11"/>
      <c r="AA46" s="11"/>
    </row>
    <row r="47" ht="15.75" customHeight="1">
      <c r="A47" s="11"/>
      <c r="B47" s="11"/>
      <c r="C47" s="11"/>
      <c r="D47" s="11"/>
      <c r="E47" s="11"/>
      <c r="F47" s="11"/>
      <c r="G47" s="11"/>
      <c r="H47" s="11"/>
      <c r="I47" s="27"/>
      <c r="J47" s="11"/>
      <c r="K47" s="11"/>
      <c r="L47" s="11"/>
      <c r="M47" s="11"/>
      <c r="N47" s="11"/>
      <c r="O47" s="11"/>
      <c r="P47" s="11"/>
      <c r="Q47" s="11"/>
      <c r="R47" s="11"/>
      <c r="S47" s="11"/>
      <c r="T47" s="11"/>
      <c r="U47" s="11"/>
      <c r="V47" s="11"/>
      <c r="W47" s="11"/>
      <c r="X47" s="11"/>
      <c r="Y47" s="11"/>
      <c r="Z47" s="11"/>
      <c r="AA47" s="11"/>
    </row>
    <row r="48" ht="15.75" customHeight="1">
      <c r="A48" s="11"/>
      <c r="B48" s="11"/>
      <c r="C48" s="11"/>
      <c r="D48" s="11"/>
      <c r="E48" s="11"/>
      <c r="F48" s="11"/>
      <c r="G48" s="11"/>
      <c r="H48" s="11"/>
      <c r="I48" s="26"/>
      <c r="J48" s="11"/>
      <c r="K48" s="11"/>
      <c r="L48" s="11"/>
      <c r="M48" s="11"/>
      <c r="N48" s="11"/>
      <c r="O48" s="11"/>
      <c r="P48" s="11"/>
      <c r="Q48" s="11"/>
      <c r="R48" s="11"/>
      <c r="S48" s="11"/>
      <c r="T48" s="11"/>
      <c r="U48" s="11"/>
      <c r="V48" s="11"/>
      <c r="W48" s="11"/>
      <c r="X48" s="11"/>
      <c r="Y48" s="11"/>
      <c r="Z48" s="11"/>
      <c r="AA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ht="15.75" customHeight="1">
      <c r="A57" s="11"/>
      <c r="B57" s="11"/>
      <c r="C57" s="11"/>
      <c r="D57" s="11"/>
      <c r="E57" s="11"/>
      <c r="F57" s="11"/>
      <c r="G57" s="26"/>
      <c r="H57" s="11"/>
      <c r="I57" s="11"/>
      <c r="J57" s="11"/>
      <c r="K57" s="11"/>
      <c r="L57" s="11"/>
      <c r="M57" s="11"/>
      <c r="N57" s="11"/>
      <c r="O57" s="11"/>
      <c r="P57" s="11"/>
      <c r="Q57" s="11"/>
      <c r="R57" s="11"/>
      <c r="S57" s="11"/>
      <c r="T57" s="11"/>
      <c r="U57" s="11"/>
      <c r="V57" s="11"/>
      <c r="W57" s="11"/>
      <c r="X57" s="11"/>
      <c r="Y57" s="11"/>
      <c r="Z57" s="11"/>
      <c r="AA57" s="11"/>
    </row>
    <row r="58" ht="15.75" customHeight="1">
      <c r="A58" s="11"/>
      <c r="B58" s="11"/>
      <c r="C58" s="11"/>
      <c r="D58" s="11"/>
      <c r="E58" s="11"/>
      <c r="F58" s="11"/>
      <c r="G58" s="26"/>
      <c r="H58" s="11"/>
      <c r="I58" s="11"/>
      <c r="J58" s="11"/>
      <c r="K58" s="11"/>
      <c r="L58" s="11"/>
      <c r="M58" s="11"/>
      <c r="N58" s="11"/>
      <c r="O58" s="11"/>
      <c r="P58" s="11"/>
      <c r="Q58" s="11"/>
      <c r="R58" s="11"/>
      <c r="S58" s="11"/>
      <c r="T58" s="11"/>
      <c r="U58" s="11"/>
      <c r="V58" s="11"/>
      <c r="W58" s="11"/>
      <c r="X58" s="11"/>
      <c r="Y58" s="11"/>
      <c r="Z58" s="11"/>
      <c r="AA58" s="11"/>
    </row>
    <row r="59" ht="15.75" customHeight="1">
      <c r="A59" s="11"/>
      <c r="B59" s="11"/>
      <c r="C59" s="11"/>
      <c r="D59" s="11"/>
      <c r="E59" s="11"/>
      <c r="F59" s="11"/>
      <c r="G59" s="27"/>
      <c r="H59" s="11"/>
      <c r="I59" s="11"/>
      <c r="J59" s="11"/>
      <c r="K59" s="11"/>
      <c r="L59" s="11"/>
      <c r="M59" s="11"/>
      <c r="N59" s="11"/>
      <c r="O59" s="11"/>
      <c r="P59" s="11"/>
      <c r="Q59" s="11"/>
      <c r="R59" s="11"/>
      <c r="S59" s="11"/>
      <c r="T59" s="11"/>
      <c r="U59" s="11"/>
      <c r="V59" s="11"/>
      <c r="W59" s="11"/>
      <c r="X59" s="11"/>
      <c r="Y59" s="11"/>
      <c r="Z59" s="11"/>
      <c r="AA59" s="11"/>
    </row>
    <row r="60" ht="15.75" customHeight="1">
      <c r="A60" s="11"/>
      <c r="B60" s="11"/>
      <c r="C60" s="11"/>
      <c r="D60" s="11"/>
      <c r="E60" s="11"/>
      <c r="F60" s="11"/>
      <c r="G60" s="26"/>
      <c r="H60" s="11"/>
      <c r="I60" s="11"/>
      <c r="J60" s="11"/>
      <c r="K60" s="11"/>
      <c r="L60" s="11"/>
      <c r="M60" s="11"/>
      <c r="N60" s="11"/>
      <c r="O60" s="11"/>
      <c r="P60" s="11"/>
      <c r="Q60" s="11"/>
      <c r="R60" s="11"/>
      <c r="S60" s="11"/>
      <c r="T60" s="11"/>
      <c r="U60" s="11"/>
      <c r="V60" s="11"/>
      <c r="W60" s="11"/>
      <c r="X60" s="11"/>
      <c r="Y60" s="11"/>
      <c r="Z60" s="11"/>
      <c r="AA60" s="11"/>
    </row>
    <row r="61" ht="15.75" customHeight="1">
      <c r="A61" s="11"/>
      <c r="B61" s="11"/>
      <c r="C61" s="11"/>
      <c r="D61" s="11"/>
      <c r="E61" s="11"/>
      <c r="F61" s="11"/>
      <c r="G61" s="27"/>
      <c r="H61" s="11"/>
      <c r="I61" s="11"/>
      <c r="J61" s="11"/>
      <c r="K61" s="11"/>
      <c r="L61" s="11"/>
      <c r="M61" s="11"/>
      <c r="N61" s="11"/>
      <c r="O61" s="11"/>
      <c r="P61" s="11"/>
      <c r="Q61" s="11"/>
      <c r="R61" s="11"/>
      <c r="S61" s="11"/>
      <c r="T61" s="11"/>
      <c r="U61" s="11"/>
      <c r="V61" s="11"/>
      <c r="W61" s="11"/>
      <c r="X61" s="11"/>
      <c r="Y61" s="11"/>
      <c r="Z61" s="11"/>
      <c r="AA61" s="11"/>
    </row>
    <row r="62" ht="15.75" customHeight="1">
      <c r="A62" s="11"/>
      <c r="B62" s="11"/>
      <c r="C62" s="11"/>
      <c r="D62" s="11"/>
      <c r="E62" s="11"/>
      <c r="F62" s="11"/>
      <c r="G62" s="27"/>
      <c r="H62" s="11"/>
      <c r="I62" s="11"/>
      <c r="J62" s="11"/>
      <c r="K62" s="11"/>
      <c r="L62" s="11"/>
      <c r="M62" s="11"/>
      <c r="N62" s="11"/>
      <c r="O62" s="11"/>
      <c r="P62" s="11"/>
      <c r="Q62" s="11"/>
      <c r="R62" s="11"/>
      <c r="S62" s="11"/>
      <c r="T62" s="11"/>
      <c r="U62" s="11"/>
      <c r="V62" s="11"/>
      <c r="W62" s="11"/>
      <c r="X62" s="11"/>
      <c r="Y62" s="11"/>
      <c r="Z62" s="11"/>
      <c r="AA62" s="11"/>
    </row>
    <row r="63" ht="15.75" customHeight="1">
      <c r="A63" s="11"/>
      <c r="B63" s="11"/>
      <c r="C63" s="11"/>
      <c r="D63" s="11"/>
      <c r="E63" s="11"/>
      <c r="F63" s="11"/>
      <c r="G63" s="26"/>
      <c r="H63" s="11"/>
      <c r="I63" s="11"/>
      <c r="J63" s="11"/>
      <c r="K63" s="11"/>
      <c r="L63" s="11"/>
      <c r="M63" s="11"/>
      <c r="N63" s="11"/>
      <c r="O63" s="11"/>
      <c r="P63" s="11"/>
      <c r="Q63" s="11"/>
      <c r="R63" s="11"/>
      <c r="S63" s="11"/>
      <c r="T63" s="11"/>
      <c r="U63" s="11"/>
      <c r="V63" s="11"/>
      <c r="W63" s="11"/>
      <c r="X63" s="11"/>
      <c r="Y63" s="11"/>
      <c r="Z63" s="11"/>
      <c r="AA63" s="11"/>
    </row>
    <row r="64" ht="15.75" customHeight="1">
      <c r="A64" s="11"/>
      <c r="B64" s="11"/>
      <c r="C64" s="11"/>
      <c r="D64" s="11"/>
      <c r="E64" s="11"/>
      <c r="F64" s="11"/>
      <c r="G64" s="27"/>
      <c r="H64" s="11"/>
      <c r="I64" s="11"/>
      <c r="J64" s="11"/>
      <c r="K64" s="11"/>
      <c r="L64" s="11"/>
      <c r="M64" s="11"/>
      <c r="N64" s="11"/>
      <c r="O64" s="11"/>
      <c r="P64" s="11"/>
      <c r="Q64" s="11"/>
      <c r="R64" s="11"/>
      <c r="S64" s="11"/>
      <c r="T64" s="11"/>
      <c r="U64" s="11"/>
      <c r="V64" s="11"/>
      <c r="W64" s="11"/>
      <c r="X64" s="11"/>
      <c r="Y64" s="11"/>
      <c r="Z64" s="11"/>
      <c r="AA64" s="11"/>
    </row>
    <row r="65" ht="15.75" customHeight="1">
      <c r="A65" s="11"/>
      <c r="B65" s="11"/>
      <c r="C65" s="11"/>
      <c r="D65" s="11"/>
      <c r="E65" s="11"/>
      <c r="F65" s="11"/>
      <c r="G65" s="27"/>
      <c r="H65" s="11"/>
      <c r="I65" s="11"/>
      <c r="J65" s="11"/>
      <c r="K65" s="11"/>
      <c r="L65" s="11"/>
      <c r="M65" s="11"/>
      <c r="N65" s="11"/>
      <c r="O65" s="11"/>
      <c r="P65" s="11"/>
      <c r="Q65" s="11"/>
      <c r="R65" s="11"/>
      <c r="S65" s="11"/>
      <c r="T65" s="11"/>
      <c r="U65" s="11"/>
      <c r="V65" s="11"/>
      <c r="W65" s="11"/>
      <c r="X65" s="11"/>
      <c r="Y65" s="11"/>
      <c r="Z65" s="11"/>
      <c r="AA65" s="11"/>
    </row>
    <row r="66" ht="15.75" customHeight="1">
      <c r="A66" s="11"/>
      <c r="B66" s="11"/>
      <c r="C66" s="11"/>
      <c r="D66" s="11"/>
      <c r="E66" s="11"/>
      <c r="F66" s="11"/>
      <c r="G66" s="27"/>
      <c r="H66" s="11"/>
      <c r="I66" s="11"/>
      <c r="J66" s="11"/>
      <c r="K66" s="11"/>
      <c r="L66" s="11"/>
      <c r="M66" s="11"/>
      <c r="N66" s="11"/>
      <c r="O66" s="11"/>
      <c r="P66" s="11"/>
      <c r="Q66" s="11"/>
      <c r="R66" s="11"/>
      <c r="S66" s="11"/>
      <c r="T66" s="11"/>
      <c r="U66" s="11"/>
      <c r="V66" s="11"/>
      <c r="W66" s="11"/>
      <c r="X66" s="11"/>
      <c r="Y66" s="11"/>
      <c r="Z66" s="11"/>
      <c r="AA66" s="11"/>
    </row>
    <row r="67" ht="15.75" customHeight="1">
      <c r="A67" s="11"/>
      <c r="B67" s="11"/>
      <c r="C67" s="11"/>
      <c r="D67" s="11"/>
      <c r="E67" s="11"/>
      <c r="F67" s="11"/>
      <c r="G67" s="26"/>
      <c r="H67" s="11"/>
      <c r="I67" s="11"/>
      <c r="J67" s="11"/>
      <c r="K67" s="11"/>
      <c r="L67" s="11"/>
      <c r="M67" s="11"/>
      <c r="N67" s="11"/>
      <c r="O67" s="11"/>
      <c r="P67" s="11"/>
      <c r="Q67" s="11"/>
      <c r="R67" s="11"/>
      <c r="S67" s="11"/>
      <c r="T67" s="11"/>
      <c r="U67" s="11"/>
      <c r="V67" s="11"/>
      <c r="W67" s="11"/>
      <c r="X67" s="11"/>
      <c r="Y67" s="11"/>
      <c r="Z67" s="11"/>
      <c r="AA67" s="11"/>
    </row>
    <row r="68" ht="15.75" customHeight="1">
      <c r="A68" s="11"/>
      <c r="B68" s="11"/>
      <c r="C68" s="11"/>
      <c r="D68" s="11"/>
      <c r="E68" s="11"/>
      <c r="F68" s="11"/>
      <c r="G68" s="26"/>
      <c r="H68" s="11"/>
      <c r="I68" s="11"/>
      <c r="J68" s="11"/>
      <c r="K68" s="11"/>
      <c r="L68" s="11"/>
      <c r="M68" s="11"/>
      <c r="N68" s="11"/>
      <c r="O68" s="11"/>
      <c r="P68" s="11"/>
      <c r="Q68" s="11"/>
      <c r="R68" s="11"/>
      <c r="S68" s="11"/>
      <c r="T68" s="11"/>
      <c r="U68" s="11"/>
      <c r="V68" s="11"/>
      <c r="W68" s="11"/>
      <c r="X68" s="11"/>
      <c r="Y68" s="11"/>
      <c r="Z68" s="11"/>
      <c r="AA68" s="11"/>
    </row>
    <row r="69" ht="15.75" customHeight="1">
      <c r="A69" s="11"/>
      <c r="B69" s="11"/>
      <c r="C69" s="11"/>
      <c r="D69" s="11"/>
      <c r="E69" s="11"/>
      <c r="F69" s="11"/>
      <c r="G69" s="26"/>
      <c r="H69" s="11"/>
      <c r="I69" s="11"/>
      <c r="J69" s="11"/>
      <c r="K69" s="11"/>
      <c r="L69" s="11"/>
      <c r="M69" s="11"/>
      <c r="N69" s="11"/>
      <c r="O69" s="11"/>
      <c r="P69" s="11"/>
      <c r="Q69" s="11"/>
      <c r="R69" s="11"/>
      <c r="S69" s="11"/>
      <c r="T69" s="11"/>
      <c r="U69" s="11"/>
      <c r="V69" s="11"/>
      <c r="W69" s="11"/>
      <c r="X69" s="11"/>
      <c r="Y69" s="11"/>
      <c r="Z69" s="11"/>
      <c r="AA69" s="11"/>
    </row>
    <row r="70" ht="15.75" customHeight="1">
      <c r="A70" s="11"/>
      <c r="B70" s="11"/>
      <c r="C70" s="11"/>
      <c r="D70" s="11"/>
      <c r="E70" s="11"/>
      <c r="F70" s="11"/>
      <c r="G70" s="26"/>
      <c r="H70" s="11"/>
      <c r="I70" s="11"/>
      <c r="J70" s="11"/>
      <c r="K70" s="11"/>
      <c r="L70" s="11"/>
      <c r="M70" s="11"/>
      <c r="N70" s="11"/>
      <c r="O70" s="11"/>
      <c r="P70" s="11"/>
      <c r="Q70" s="11"/>
      <c r="R70" s="11"/>
      <c r="S70" s="11"/>
      <c r="T70" s="11"/>
      <c r="U70" s="11"/>
      <c r="V70" s="11"/>
      <c r="W70" s="11"/>
      <c r="X70" s="11"/>
      <c r="Y70" s="11"/>
      <c r="Z70" s="11"/>
      <c r="AA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dataValidations>
    <dataValidation type="list" allowBlank="1" sqref="I2:I12 I14:I15">
      <formula1>"Quiz,Discussion Forum,MyCareer Onboarding,ROI Journey,Assignment"</formula1>
    </dataValidation>
    <dataValidation type="list" allowBlank="1" sqref="I13 G2:G15">
      <formula1>"Midterm Exam,Final Exam,Problem Set,Project,Quiz,Other,Onboarding,Assignment"</formula1>
    </dataValidation>
  </dataValidations>
  <printOptions/>
  <pageMargins bottom="1.0" footer="0.0" header="0.0" left="0.75" right="0.75" top="1.0"/>
  <pageSetup paperSize="9" orientation="portrait"/>
  <drawing r:id="rId4"/>
  <legacyDrawing r:id="rId5"/>
</worksheet>
</file>