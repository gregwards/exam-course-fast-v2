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 Map" sheetId="1" r:id="rId5"/>
    <sheet state="visible" name="Assessment Map" sheetId="2" r:id="rId6"/>
    <sheet state="visible" name="Course Narrative" sheetId="3" r:id="rId7"/>
  </sheets>
  <definedNames>
    <definedName hidden="1" localSheetId="0" name="_xlnm._FilterDatabase">'LO Map'!$A$1:$D$58</definedName>
  </definedNames>
  <calcPr/>
</workbook>
</file>

<file path=xl/sharedStrings.xml><?xml version="1.0" encoding="utf-8"?>
<sst xmlns="http://schemas.openxmlformats.org/spreadsheetml/2006/main" count="292" uniqueCount="174">
  <si>
    <t>LO Type</t>
  </si>
  <si>
    <t>#</t>
  </si>
  <si>
    <t>Parent</t>
  </si>
  <si>
    <t>Description</t>
  </si>
  <si>
    <t>Notes</t>
  </si>
  <si>
    <t>PLO</t>
  </si>
  <si>
    <t>Construct quantitative and structural analyses of chemical systems by applying foundational models of matter, bonding, and energy to predict the properties and behavior of substances.</t>
  </si>
  <si>
    <t>CLO</t>
  </si>
  <si>
    <t>Characterize matter using the descriptive vocabulary and quantitative measurement tools of chemistry, including classification of matter, physical and chemical properties, SI units, dimensional analysis, and significant figures</t>
  </si>
  <si>
    <t>KLO</t>
  </si>
  <si>
    <t>CLO-1</t>
  </si>
  <si>
    <t>Classify a substance as element, compound, homogeneous mixture, or heterogeneous mixture given a description or diagram</t>
  </si>
  <si>
    <t>Distinguish physical properties from chemical properties, and physical changes from chemical changes, given a set of examples</t>
  </si>
  <si>
    <t>Identify the SI base units for mass, length, time, temperature, and amount of substance, and select the appropriate metric prefix for a given quantity</t>
  </si>
  <si>
    <t>Solve multi-step unit conversion problems using dimensional analysis</t>
  </si>
  <si>
    <t>Calculate the result of arithmetic operations on measured values using correct significant figure rules for addition/subtraction and multiplication/division</t>
  </si>
  <si>
    <t>I'm not sure what you mean by 6. How is this different than the multiplication/division of CLO-1 #5? Would it instead make sense to have CLO-1 #6 be something about a discussion of precision vs accuracy?</t>
  </si>
  <si>
    <t>Distinguish between precision and accuracy in the context of experimental measurements, and identify sources of each type of error in a given scenario.</t>
  </si>
  <si>
    <t>Apply systematic nomenclature rules to name and write formulas for ionic, molecular, and acid-base compounds.</t>
  </si>
  <si>
    <t>CLO-2</t>
  </si>
  <si>
    <t>Name binary ionic compounds formed from main-group and transition-metal cations, including Roman numerals for variable-charge metals</t>
  </si>
  <si>
    <t>Identify the correct name and formula for ionic compounds containing common polyatomic ions</t>
  </si>
  <si>
    <t>Identify the correct name and formula for binary molecular compounds using Greek prefix nomenclature</t>
  </si>
  <si>
    <t>Identify the correct name and formula for binary acids, oxyacids, and hydrates</t>
  </si>
  <si>
    <t>I also cover how to name hydrates but I don't know if you want to specifically mention that as a CLO or not</t>
  </si>
  <si>
    <t>Distinguish between ionic and molecular compound naming conventions when given an unknown chemical formula</t>
  </si>
  <si>
    <t>Apply the mole concept and stoichiometric relationships to predict quantities of reactants, products, and limiting reagents in chemical reactions, including in solution</t>
  </si>
  <si>
    <t>CLO-3</t>
  </si>
  <si>
    <t>Calculate the atomic mass, molar mass, or formula mass of a substance and convert among mass, moles, and number of particles using the appropriate mass quantity and Avogadro's number.</t>
  </si>
  <si>
    <t>This is splitting hairs but technically you can have atomic mass (for atoms), molar mass (for molecules), and formula mass (for formula units, ie ionic substances)</t>
  </si>
  <si>
    <t>Calculate the empirical and molecular formulas of a compound given percent composition data and molar mass</t>
  </si>
  <si>
    <t>Solve for missing coefficients to balance chemical equations and classify reactions as precipitation, acid-base, or oxidation-reduction (combustion as a subtype).</t>
  </si>
  <si>
    <t>Identify the limiting reagent and calculate theoretical yield for a reaction given initial reactant quantities</t>
  </si>
  <si>
    <t>Calculate percent yield given the theoretical and actual yield for a reaction</t>
  </si>
  <si>
    <t>Calculate the molarity of a solution and solve for the concentration or volume after dilution using M₁V₁ = M₂V₂</t>
  </si>
  <si>
    <t>Solve solution stoichiometry problems to determine the mass or volume of a reactant or product in an aqueous reaction</t>
  </si>
  <si>
    <t>Analyze atomic structure using the quantum mechanical model to determine electron configurations and predict periodic trends in element behavior</t>
  </si>
  <si>
    <t>CLO-4</t>
  </si>
  <si>
    <t>Identify the charge, mass, and location of protons, neutrons, and electrons, and calculate atomic number, mass number, and neutron count for isotopes</t>
  </si>
  <si>
    <t>Calculate the average atomic mass of an element from the masses and natural abundances of its isotopes</t>
  </si>
  <si>
    <t>Describe the Bohr model of the hydrogen atom and explain why the quantum mechanical model replaced it for multi-electron atoms</t>
  </si>
  <si>
    <t>Identify the four quantum numbers (n, l, mₗ, mₛ), state their allowed values for a given n, and describe the physical property each represents</t>
  </si>
  <si>
    <t>Identify the ground-state electron configuration of an element using the Aufbau principle, Hund's rule, and the Pauli exclusion principle</t>
  </si>
  <si>
    <t>Predict the direction of change in atomic radius, ionization energy, electron affinity, and electronegativity across a period and down a group in the periodic table</t>
  </si>
  <si>
    <t>Should we include electron affinity here?</t>
  </si>
  <si>
    <t>Analyze chemical bonding using Lewis structures, VSEPR theory, and hybridization to predict molecular geometry, polarity, and physical properties</t>
  </si>
  <si>
    <t>CLO-5</t>
  </si>
  <si>
    <t>Explain trends in atomic radius, ionization energy, electron affinity, and electronegativity using effective nuclear charge and electron shielding</t>
  </si>
  <si>
    <t>Same comment as above</t>
  </si>
  <si>
    <t>Distinguish among ionic, covalent, and metallic bonding based on electronegativity differences and the types of atoms involved</t>
  </si>
  <si>
    <t>Identify the correct Lewis structure for a molecule or polyatomic ion, including formal charge assignments on each atom</t>
  </si>
  <si>
    <t>Identify resonance structures for a molecule and explain how electron delocalization stabilizes species that cannot be represented by a single Lewis structure</t>
  </si>
  <si>
    <t>Predict the electron geometry, molecular geometry, and approximate bond angles of a molecule with 2–6 electron groups using VSEPR theory</t>
  </si>
  <si>
    <t>Predict the hybridization (sp, sp², sp³ and dsp3, ds2sp3) of a central atom given its Lewis structure and number of electron groups</t>
  </si>
  <si>
    <t>Should we expand this to include dsp3 and d2sp3 as well?</t>
  </si>
  <si>
    <t>Classify a molecule as polar or nonpolar based on bond polarities and overall molecular geometry</t>
  </si>
  <si>
    <t>Calculate the approximate enthalpy change of a reaction using average bond energy values for bonds broken and formed</t>
  </si>
  <si>
    <t>Describe the conceptual basis of molecular orbital theory, including the distinction between bonding and antibonding orbitals, and calculate bond order for simple diatomic molecules.</t>
  </si>
  <si>
    <r>
      <rPr>
        <rFont val="Calibri"/>
        <color theme="1"/>
      </rPr>
      <t xml:space="preserve">I also show them how to calculate </t>
    </r>
    <r>
      <rPr>
        <rFont val="Calibri"/>
        <b/>
        <color theme="1"/>
      </rPr>
      <t>BOND ORDER</t>
    </r>
    <r>
      <rPr>
        <rFont val="Calibri"/>
        <color theme="1"/>
      </rPr>
      <t>, determine if a species is diamagnetic/paramagnetic, and how to identify the HOMO/LUMO</t>
    </r>
  </si>
  <si>
    <t>Apply gas laws and kinetic molecular theory to explain and predict gas behavior under varying conditions</t>
  </si>
  <si>
    <t>CLO-6</t>
  </si>
  <si>
    <t>Solve gas law problems (Boyle's, Charles's, Avogadro's, Gay-Lussac's) to predict changes in pressure, volume, temperature, or moles for a gas sample</t>
  </si>
  <si>
    <t>Solve for pressure, volume, moles, or temperature using the ideal gas law PV = nRT</t>
  </si>
  <si>
    <t>Calculate partial pressures and total pressure for a gas mixture using Dalton's Law of Partial Pressures</t>
  </si>
  <si>
    <t>Solve stoichiometric problems involving gaseous reactants or products using molar volume at STP or the ideal gas law</t>
  </si>
  <si>
    <t>I don't know if it's worth having a separate CLO for this but I also do gas collection by water displacement problems. Perhaps this shows up in the lab? I will check :-)</t>
  </si>
  <si>
    <t>Explain the postulates of kinetic molecular theory and predict how changes in temperature or volume affect average molecular speed and collision frequency</t>
  </si>
  <si>
    <t>Distinguish conditions under which real gas behavior deviates significantly from ideal behavior and explain the molecular causes</t>
  </si>
  <si>
    <t>Apply introductory thermochemical concepts, including enthalpy and energy changes, to interpret phase diagrams and explain physical and chemical processes.</t>
  </si>
  <si>
    <t>CLO-7</t>
  </si>
  <si>
    <t>Classify phase transitions as endothermic or exothermic and identify the energy changes associated with melting, freezing, boiling, condensation, sublimation, and deposition</t>
  </si>
  <si>
    <t>Interpret a heating or cooling curve to identify phase transitions, temperature plateaus, and whether heat is absorbed or released at each stage</t>
  </si>
  <si>
    <t>Interpret a phase diagram to identify the stable phase at specified conditions and locate the triple point and critical point</t>
  </si>
  <si>
    <t>Describe vapor pressure as the pressure exerted by a gas in equilibrium with its liquid phase and predict how temperature affects it</t>
  </si>
  <si>
    <t>I go into Clausius-Clapeyron here. Is the plan to skip this altogether or to do this in Chem 2?</t>
  </si>
  <si>
    <t>Unit</t>
  </si>
  <si>
    <t>Act</t>
  </si>
  <si>
    <t>Rize Requirements</t>
  </si>
  <si>
    <t>Topic</t>
  </si>
  <si>
    <t>CLOs Covered</t>
  </si>
  <si>
    <t>KLOs Covered</t>
  </si>
  <si>
    <t>Skill</t>
  </si>
  <si>
    <t>Primary Assessment</t>
  </si>
  <si>
    <t>Primary Pts</t>
  </si>
  <si>
    <t>Secondary Assessment</t>
  </si>
  <si>
    <t>Secondary Pts</t>
  </si>
  <si>
    <t>Career Milestone</t>
  </si>
  <si>
    <t>CM Pts</t>
  </si>
  <si>
    <t>Unit Pts</t>
  </si>
  <si>
    <t>Cumulative Pts</t>
  </si>
  <si>
    <t>Primary Resource / Textbook Ch.</t>
  </si>
  <si>
    <t>Unit Description</t>
  </si>
  <si>
    <t>Onboarding Tasks (50 pts)</t>
  </si>
  <si>
    <t>Onboarding</t>
  </si>
  <si>
    <t>Welcome to General Chemistry I. This week is all about getting set up: submitting your orientation tasks, reviewing course policies, and introducing yourself in the discussion forum. The discussion is designed to be low-stakes and conversational, not a graded chemistry assessment. Think of it as finding your seat before the course gets underway.</t>
  </si>
  <si>
    <t>Matter, Measurement, and Chemical Language</t>
  </si>
  <si>
    <t>CLO-1,2</t>
  </si>
  <si>
    <t>1–11</t>
  </si>
  <si>
    <t>Problem Set</t>
  </si>
  <si>
    <t>Quiz</t>
  </si>
  <si>
    <t>Ch 1; Ch 2.4–2.7</t>
  </si>
  <si>
    <t>This is the first real teaching week, and the workload is intentionally lighter than what follows. Coming out of onboarding, you'll build the foundational vocabulary and quantitative tools that underpin everything in this course: classifying matter, distinguishing physical from chemical properties, converting units using dimensional analysis, applying significant figure rules, and naming compounds systematically. You'll practice these skills in a problem set. Every calculation you run for the rest of the course, from mole conversions in Unit 3 to gas law problems in Unit 11, depends on the unit conversion and significant figure habits you build here.</t>
  </si>
  <si>
    <t>I am wondering if it makes sense to have the quizzes be 10 points but the problems sets be 30 points. On the one hand, the quizzes are probably short and it makes it less stressful for students, but perhaps they wouldn't be motivated to do well if it is "only" 10 points?</t>
  </si>
  <si>
    <t>100/200: MyCareer Onboarding (25 pts)</t>
  </si>
  <si>
    <t>The Mole Concept &amp; Stoichiometry</t>
  </si>
  <si>
    <t>12–18</t>
  </si>
  <si>
    <t>MyCareer Onboarding</t>
  </si>
  <si>
    <t>Ch 3.1–3.2; Ch 4.1–4.2</t>
  </si>
  <si>
    <t>The mole is the central accounting unit of chemistry, and this week you'll learn how to use it. Building on the dimensional analysis and unit conversion skills from Unit 2, you'll convert between mass, moles, and number of particles, calculate empirical and molecular formulas from percent composition data, and balance chemical equations across five reaction types. Your assessment is a problem set, paired with the MyCareer Onboarding milestone. Mastering molar mass conversions here is non-negotiable: Unit 4's limiting reagent and percent yield calculations are just mole math applied to reactions, and you cannot do stoichiometry without this foundation.</t>
  </si>
  <si>
    <t>What are the career milestones? Sorry if I missed this...</t>
  </si>
  <si>
    <t>Stoichiometry &amp; Solutions</t>
  </si>
  <si>
    <t>15–18</t>
  </si>
  <si>
    <t>Ch 3.3; Ch 4.3–4.4</t>
  </si>
  <si>
    <t>Stoichiometry gets practical this week. Building on the mole conversions and balanced equations from Unit 3, you'll identify limiting reagents, calculate theoretical and percent yield, and extend those skills into solution chemistry using molarity, dilution, and solution stoichiometry. A problem set and a 10-question quiz assess your ability to execute these calculations accurately. This unit covers the quantitative core of Midterm 1: if you can solve a limiting reagent problem and a solution stoichiometry problem from scratch, you are ready for the exam.</t>
  </si>
  <si>
    <t>Midterm Exam</t>
  </si>
  <si>
    <t>Midterm 1 (covers Units 2-4, est. 80 min)</t>
  </si>
  <si>
    <t>CLO-1,2,3</t>
  </si>
  <si>
    <t>Midterm 1 covers everything from Units 2 through 4: matter classification, nomenclature, the mole concept, stoichiometry, and solution chemistry. The exam has three sections: Section 1 is auto-gradable questions (multiple choice, true/false, matching, and numerical), Section 2 asks for short worked solutions or written explanations, and Section 3 presents multi-step problems that ask you to apply those concepts in a new context. Treat this as a dress rehearsal for the final, same format and same conditions, covering only the first half of the course. Your best preparation is working through practice problems until you can solve a mole conversion or limiting reagent problem without looking anything up.</t>
  </si>
  <si>
    <t>Skill Benchmark</t>
  </si>
  <si>
    <t>Atomic Structure</t>
  </si>
  <si>
    <t>19–22</t>
  </si>
  <si>
    <t>TBD</t>
  </si>
  <si>
    <t>Ch 2.1–2.3; Ch 6.1–6.3</t>
  </si>
  <si>
    <t>The focus shifts from how much to what is inside. Where Act 1 asked you to count and convert, this unit asks you to look inside the atom: you will learn the charge, mass, and location of subatomic particles, calculate average atomic masses from isotope abundance data, trace the development from the Bohr model to the quantum mechanical model, and interpret the meaning of the four quantum numbers. A problem set and quiz assess these concepts. The quantum numbers you work with here are the direct input for writing electron configurations in Unit 7, which in turn explain every bonding decision you will make in Units 8 and 9.</t>
  </si>
  <si>
    <t>Electron Configuration &amp; Periodic Trends</t>
  </si>
  <si>
    <t>23–25</t>
  </si>
  <si>
    <t>Ch 6.4–6.6</t>
  </si>
  <si>
    <t>In Unit 6 you learned what quantum numbers describe. Now you will use them. This week you will write ground-state electron configurations using the Aufbau principle, Hund's rule, and the Pauli exclusion principle, then connect those configurations to periodic trends in atomic radius, ionization energy, and electronegativity using effective nuclear charge and electron shielding as the explanation. A problem set and quiz check your fluency with both skills. When you reach Unit 8, every bonding decision, whether a bond is ionic or covalent and which atom pulls more electron density, starts with electronegativity, which you will understand here as a periodic trend with a specific, predictable cause.</t>
  </si>
  <si>
    <t>100/200: ROI Journey (25 pts); Units 7-9 window</t>
  </si>
  <si>
    <t>Chemical Bonding</t>
  </si>
  <si>
    <t>26–29</t>
  </si>
  <si>
    <t>ROI Journey</t>
  </si>
  <si>
    <t>Ch 7.1–7.5</t>
  </si>
  <si>
    <t>Electronegativity differences from Unit 7 now drive the central question of this unit: how do atoms share or transfer electrons to form bonds? You will use Lewis structures to map electron distribution in molecules and polyatomic ions, assign formal charges, draw resonance structures for species that cannot be captured by a single structure, and apply VSEPR theory to predict electron geometry. Your problem set supports this work alongside the ROI Journey milestone. The Lewis structures you build here are the foundation for Unit 9, where you will add hybridization, molecular polarity, and bond energy calculations to the picture.</t>
  </si>
  <si>
    <t>Molecular Geometry &amp; Structure</t>
  </si>
  <si>
    <t>30–33</t>
  </si>
  <si>
    <t>Ch 7.6; Ch 8.1–8.2</t>
  </si>
  <si>
    <t>Lewis structures tell you which atoms are connected. This unit tells you the shape and energy of those connections. Building on VSEPR and Lewis structures from Unit 8, you will assign hybridization to central atoms, determine molecular polarity from geometry and bond dipoles, calculate the approximate enthalpy change of a reaction using average bond energies, and get a conceptual introduction to molecular orbital theory for simple diatomic molecules. A problem set and quiz assess all four skills. Molecular geometry and polarity are high-frequency question types on Midterm 2, and the bond energy calculation you practice here is the first step toward the thermochemical reasoning that runs through Unit 12 and the final.</t>
  </si>
  <si>
    <t>Midterm 2 (covers Units 6-9, est 80 min)</t>
  </si>
  <si>
    <t>CLO-4,5</t>
  </si>
  <si>
    <t>Midterm 2 covers Units 6 through 9: atomic structure, electron configuration, periodic trends, chemical bonding, molecular geometry, hybridization, polarity, and bond energy. Like Midterm 1, the exam runs three sections: auto-gradable questions in Section 1, short worked responses or written explanations in Section 2, and multi-step problems in a novel context in Section 3. This is your second dress rehearsal for the final, and the format is identical to what you will face in Unit 14. Students who review their quiz corrections from Units 6 through 9 and rework any Lewis structure or geometry problems they missed will find this the most efficient use of their preparation time.</t>
  </si>
  <si>
    <t>Gases</t>
  </si>
  <si>
    <t>34–39</t>
  </si>
  <si>
    <t>Ch 9</t>
  </si>
  <si>
    <t>Gases are the simplest state of matter to model mathematically, and this unit gives you the full toolkit for doing so. Building on the molecular-level picture of matter from Units 8 and 9, you will solve problems using the individual gas laws and the ideal gas law, calculate partial pressures with Dalton's law, run stoichiometry problems involving gaseous reactants and products, and use kinetic molecular theory to explain why gases behave the way they do under different conditions. A problem set and quiz assess all six learning outcomes. Understanding how gas pressure arises from molecular motion is the direct setup for Unit 12, where vapor pressure, one of the key ideas in phase behavior, is described as a gas-liquid equilibrium.</t>
  </si>
  <si>
    <t>Phases and Phase Changes</t>
  </si>
  <si>
    <t>40–43</t>
  </si>
  <si>
    <t>Ch 10.2–10.4</t>
  </si>
  <si>
    <t>Phase behavior connects the molecular picture to the world you can observe. Having studied molecular structure in Units 8 and 9 and gas behavior in Unit 11, you will now examine how matter transitions between states: classifying phase changes as endothermic or exothermic, reading heating and cooling curves, interpreting phase diagrams to identify stable phases and locate triple and critical points, and describing vapor pressure as a gas-liquid equilibrium that shifts with temperature. A problem set and a 10-question quiz assess these concepts. This unit closes the course's physical chemistry thread and sits at the heart of the final's PLO question: when you can explain why molecular-level structure drives bulk behavior like boiling point and phase stability, you are working at the level the course was designed to reach.</t>
  </si>
  <si>
    <t>Cumulative Review / Practice</t>
  </si>
  <si>
    <t>All</t>
  </si>
  <si>
    <t xml:space="preserve">No new content this week, but do not mistake that for a light week. The practice quiz is ungraded and covers all seven CLOs with problems weighted toward the question types that appear most often on the final: multi-step stoichiometry, Lewis structure and geometry chains, gas law calculations, and phase diagram interpretation. Work through it as you would the actual exam, then use your score to identify which CLOs still need attention. The final is cumulative and covers everything from Unit 2 onward.
</t>
  </si>
  <si>
    <t>Is this right - 0 points for the quiz?</t>
  </si>
  <si>
    <t>Final Exam (HonorLock proctored)</t>
  </si>
  <si>
    <t>Final Exam (120 min)</t>
  </si>
  <si>
    <t>Final Exam</t>
  </si>
  <si>
    <t>The final exam is cumulative, covering all seven CLOs and the integrative skill defined in the course's program-level outcome. It runs 120 minutes and is proctored through HonorLock. Section 1 contains auto-gradable questions, each tied to a single learning outcome. Section 2 asks for short worked responses or explanations across the CLOs. Section 3 contains two long-answer problems: one addresses a specific CLO in a novel multi-step scenario, and one is the PLO integrative question, which asks you to construct a quantitative or structural analysis of a chemical system by drawing on multiple models from across the course. Your score is scaled to 350 points in the gradebook.</t>
  </si>
  <si>
    <t>TOTALS</t>
  </si>
  <si>
    <t>VALIDATION CHECKS</t>
  </si>
  <si>
    <t>Total = 1000 pts</t>
  </si>
  <si>
    <t>Final Exam 350-450 pts</t>
  </si>
  <si>
    <t>Midterm 100-200 pts</t>
  </si>
  <si>
    <t>Act 1 &lt;= 250 pts</t>
  </si>
  <si>
    <t>Max 5 units w/ secondary</t>
  </si>
  <si>
    <t>No secondary &gt; 15 pts</t>
  </si>
  <si>
    <t>Midterm unit exam-only</t>
  </si>
  <si>
    <t>Final unit exam-only</t>
  </si>
  <si>
    <t>&gt;=9 exam-practice primaries</t>
  </si>
  <si>
    <t>Skill benchmarked in Unit 6</t>
  </si>
  <si>
    <t>Course Narrative</t>
  </si>
  <si>
    <r>
      <rPr>
        <rFont val="Calibri"/>
        <b/>
        <color theme="1"/>
      </rPr>
      <t xml:space="preserve">Course Opinion: </t>
    </r>
    <r>
      <rPr>
        <rFont val="Calibri"/>
        <b val="0"/>
        <color theme="1"/>
      </rPr>
      <t xml:space="preserve"> You're going to learn a lot of formulas in this class, but chemistry is more than just a list of formulas to memorize. Chemistry is a set of models you build, layer by layer, until you can predict what matter will do before you touch it. That's how we know not to mix ammonia and bleach when you clean your bathroom, and how to lay down water in the right way to make a perfect hockey rink, and how to determine the right fuel mixture to sent Artemis to the moon. So in this course, we move from learning how chemists count and name what they're working with ("what do I have and how do I describe it?" then how atoms connect into moleules with specific shapes and properties, and then stat talking about phases of matter and how they behave. Every unit adds a layer. By the final exam, you're not plugging in numbers into equations you were told to use. You're picing the right model for the problem you have at hand.</t>
    </r>
  </si>
  <si>
    <r>
      <rPr>
        <rFont val="Calibri"/>
        <b/>
        <color theme="1"/>
      </rPr>
      <t>Act 1 Narrative:</t>
    </r>
    <r>
      <rPr>
        <rFont val="Calibri"/>
        <b val="0"/>
        <color theme="1"/>
      </rPr>
      <t xml:space="preserve"> </t>
    </r>
    <r>
      <rPr>
        <rFont val="Calibri"/>
        <b/>
        <color theme="1"/>
      </rPr>
      <t>What Do I Have, and How Much?</t>
    </r>
    <r>
      <rPr>
        <rFont val="Calibri"/>
        <b val="0"/>
        <color theme="1"/>
      </rPr>
      <t xml:space="preserve"> By the end of this act you can answer questions like: If a label says "sodium chloride," what is that actually made of? If a recipe calls for 50 grams of baking soda, how many molecules is that? If I measure something on two different scales and get two different numbers, which one do I trust? These are the counting and naming tools of chemistry — classification, nomenclature, unit conversion, significant figures, and the mole. They're not glamorous, but every calculation you run for the rest of the course starts here. The workload is intentionally lighter in this act because the goal is fluency, not speed.</t>
    </r>
  </si>
  <si>
    <r>
      <rPr>
        <rFont val="Calibri"/>
        <b/>
        <color theme="1"/>
      </rPr>
      <t xml:space="preserve">Act 2 Narrative: Why Does It Do That? </t>
    </r>
    <r>
      <rPr>
        <rFont val="Calibri"/>
        <b val="0"/>
        <color theme="1"/>
      </rPr>
      <t>Act 1 taught you to describe and count. Act 2 teaches you to explain and predict. You'll start with stoichiometry — if I combine these two chemicals, which one runs out first, and how much product do I get? Then you'll look inside atoms to answer questions like why does sodium explode in water but potassium explodes harder? and why is a diamond hard but graphite soft when they're both pure carbon? From there you'll build molecular models: why is water bent and CO₂ straight? Why does that shape make water dissolve salt but not oil? And you'll finish with gases and phases: how does an airbag know how much gas to produce? Why does dry ice skip the liquid phase entirely? Two midterms check your progress along the way — one after stoichiometry, one after molecular structure. By the end of Act 2, you have every model the final will ask you to use.</t>
    </r>
  </si>
  <si>
    <r>
      <rPr>
        <rFont val="Calibri"/>
        <b/>
        <color theme="1"/>
      </rPr>
      <t xml:space="preserve">Act 3 Narrative:
</t>
    </r>
    <r>
      <rPr>
        <rFont val="Calibri"/>
        <b val="0"/>
        <color theme="1"/>
      </rPr>
      <t>No new content. The practice exam in Unit 13 covers all seven CLOs — treat it like the real thing and use your score to find what still needs work. The final in Unit 14 is cumulative, proctored, 120 minutes. The last section gives you a chemical system you haven't seen before and asks you to pull from multiple models to analyze it — here's an unfamiliar compound: predict its geometry, explain whether it's polar, estimate what phase it's in at room temperature, and justify your reasoning. If you've been building the models all semester, this is where they pay off.</t>
    </r>
  </si>
</sst>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1.0"/>
      <color rgb="FFFFFFFF"/>
      <name val="Arial"/>
    </font>
    <font>
      <b/>
      <color theme="1"/>
      <name val="Calibri"/>
      <scheme val="minor"/>
    </font>
    <font>
      <sz val="10.0"/>
      <color theme="1"/>
      <name val="Arial"/>
    </font>
    <font>
      <sz val="10.0"/>
      <color rgb="FF141413"/>
      <name val="Arial"/>
    </font>
    <font>
      <color theme="1"/>
      <name val="Calibri"/>
      <scheme val="minor"/>
    </font>
    <font>
      <sz val="10.0"/>
      <color rgb="FF3D3D3A"/>
      <name val="Arial"/>
    </font>
    <font>
      <sz val="8.0"/>
      <color rgb="FF3D3D3A"/>
      <name val="&quot;Anthropic Sans&quot;"/>
    </font>
    <font>
      <b/>
      <sz val="10.0"/>
      <color theme="1"/>
      <name val="Arial"/>
    </font>
    <font>
      <b/>
      <sz val="11.0"/>
      <color rgb="FF2F5496"/>
      <name val="Arial"/>
    </font>
  </fonts>
  <fills count="9">
    <fill>
      <patternFill patternType="none"/>
    </fill>
    <fill>
      <patternFill patternType="lightGray"/>
    </fill>
    <fill>
      <patternFill patternType="solid">
        <fgColor rgb="FF2F5496"/>
        <bgColor rgb="FF2F5496"/>
      </patternFill>
    </fill>
    <fill>
      <patternFill patternType="solid">
        <fgColor rgb="FFCFE2F3"/>
        <bgColor rgb="FFCFE2F3"/>
      </patternFill>
    </fill>
    <fill>
      <patternFill patternType="solid">
        <fgColor rgb="FFD9EAD3"/>
        <bgColor rgb="FFD9EAD3"/>
      </patternFill>
    </fill>
    <fill>
      <patternFill patternType="solid">
        <fgColor theme="6"/>
        <bgColor theme="6"/>
      </patternFill>
    </fill>
    <fill>
      <patternFill patternType="solid">
        <fgColor rgb="FFFFFF00"/>
        <bgColor rgb="FFFFFF00"/>
      </patternFill>
    </fill>
    <fill>
      <patternFill patternType="solid">
        <fgColor rgb="FFFCE5CD"/>
        <bgColor rgb="FFFCE5CD"/>
      </patternFill>
    </fill>
    <fill>
      <patternFill patternType="solid">
        <fgColor rgb="FFF2F2F2"/>
        <bgColor rgb="FFF2F2F2"/>
      </patternFill>
    </fill>
  </fills>
  <borders count="3">
    <border/>
    <border>
      <left style="thin">
        <color rgb="FFCCCCCC"/>
      </left>
      <right style="thin">
        <color rgb="FFCCCCCC"/>
      </right>
      <top style="thin">
        <color rgb="FFCCCCCC"/>
      </top>
      <bottom style="thin">
        <color rgb="FFCCCCCC"/>
      </bottom>
    </border>
    <border>
      <top style="double">
        <color rgb="FF2F5496"/>
      </top>
      <bottom style="double">
        <color rgb="FF2F5496"/>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readingOrder="0"/>
    </xf>
    <xf borderId="1" fillId="3" fontId="3" numFmtId="0" xfId="0" applyAlignment="1" applyBorder="1" applyFill="1" applyFont="1">
      <alignment shrinkToFit="0" vertical="top" wrapText="1"/>
    </xf>
    <xf borderId="1" fillId="3" fontId="3" numFmtId="0" xfId="0" applyAlignment="1" applyBorder="1" applyFont="1">
      <alignment readingOrder="0" shrinkToFit="0" vertical="top" wrapText="1"/>
    </xf>
    <xf borderId="1" fillId="4" fontId="3" numFmtId="0" xfId="0" applyAlignment="1" applyBorder="1" applyFill="1" applyFont="1">
      <alignment shrinkToFit="0" vertical="top" wrapText="1"/>
    </xf>
    <xf borderId="1" fillId="4" fontId="3" numFmtId="0" xfId="0" applyAlignment="1" applyBorder="1" applyFont="1">
      <alignment readingOrder="0" shrinkToFit="0" vertical="top" wrapText="1"/>
    </xf>
    <xf borderId="1" fillId="0" fontId="3" numFmtId="0" xfId="0" applyAlignment="1" applyBorder="1" applyFont="1">
      <alignment shrinkToFit="0" vertical="top" wrapText="1"/>
    </xf>
    <xf borderId="1" fillId="0" fontId="3" numFmtId="0" xfId="0" applyAlignment="1" applyBorder="1" applyFont="1">
      <alignment readingOrder="0" shrinkToFit="0" vertical="top" wrapText="1"/>
    </xf>
    <xf borderId="0" fillId="0" fontId="4" numFmtId="0" xfId="0" applyAlignment="1" applyFont="1">
      <alignment readingOrder="0" shrinkToFit="0" wrapText="1"/>
    </xf>
    <xf borderId="0" fillId="5" fontId="5" numFmtId="0" xfId="0" applyAlignment="1" applyFill="1" applyFont="1">
      <alignment readingOrder="0"/>
    </xf>
    <xf borderId="0" fillId="6" fontId="5" numFmtId="0" xfId="0" applyAlignment="1" applyFill="1" applyFont="1">
      <alignment readingOrder="0"/>
    </xf>
    <xf borderId="0" fillId="7" fontId="5" numFmtId="0" xfId="0" applyAlignment="1" applyFill="1" applyFont="1">
      <alignment readingOrder="0"/>
    </xf>
    <xf borderId="0" fillId="0" fontId="5" numFmtId="0" xfId="0" applyAlignment="1" applyFont="1">
      <alignment shrinkToFit="0" wrapText="1"/>
    </xf>
    <xf borderId="1" fillId="2" fontId="1" numFmtId="0" xfId="0" applyAlignment="1" applyBorder="1" applyFont="1">
      <alignment horizontal="center" readingOrder="0" shrinkToFit="0" vertical="center" wrapText="1"/>
    </xf>
    <xf borderId="1" fillId="8" fontId="3" numFmtId="0" xfId="0" applyAlignment="1" applyBorder="1" applyFill="1" applyFont="1">
      <alignment shrinkToFit="0" vertical="top" wrapText="1"/>
    </xf>
    <xf borderId="1" fillId="8" fontId="3" numFmtId="0" xfId="0" applyAlignment="1" applyBorder="1" applyFont="1">
      <alignment readingOrder="0" shrinkToFit="0" vertical="top" wrapText="1"/>
    </xf>
    <xf borderId="0" fillId="0" fontId="6" numFmtId="0" xfId="0" applyAlignment="1" applyFont="1">
      <alignment readingOrder="0"/>
    </xf>
    <xf borderId="0" fillId="0" fontId="5" numFmtId="0" xfId="0" applyAlignment="1" applyFont="1">
      <alignment readingOrder="0"/>
    </xf>
    <xf borderId="0" fillId="8" fontId="6" numFmtId="0" xfId="0" applyAlignment="1" applyFont="1">
      <alignment readingOrder="0"/>
    </xf>
    <xf borderId="0" fillId="8" fontId="5" numFmtId="0" xfId="0" applyFont="1"/>
    <xf borderId="0" fillId="0" fontId="7" numFmtId="0" xfId="0" applyAlignment="1" applyFont="1">
      <alignment readingOrder="0"/>
    </xf>
    <xf borderId="0" fillId="0" fontId="8" numFmtId="0" xfId="0" applyAlignment="1" applyFont="1">
      <alignment shrinkToFit="0" vertical="bottom" wrapText="0"/>
    </xf>
    <xf borderId="2" fillId="0" fontId="8" numFmtId="0" xfId="0" applyAlignment="1" applyBorder="1" applyFont="1">
      <alignment shrinkToFit="0" vertical="bottom" wrapText="0"/>
    </xf>
    <xf borderId="0" fillId="0" fontId="9" numFmtId="0" xfId="0" applyAlignment="1" applyFont="1">
      <alignment shrinkToFit="0" vertical="bottom" wrapText="0"/>
    </xf>
    <xf borderId="0" fillId="0" fontId="3" numFmtId="0" xfId="0" applyAlignment="1" applyFont="1">
      <alignment shrinkToFit="0" vertical="bottom" wrapText="0"/>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496"/>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8.0"/>
    <col customWidth="1" min="3" max="3" width="10.0"/>
    <col customWidth="1" min="4" max="4" width="80.0"/>
    <col customWidth="1" min="5" max="5" width="61.14"/>
    <col customWidth="1" min="6" max="26" width="8.71"/>
  </cols>
  <sheetData>
    <row r="1">
      <c r="A1" s="1" t="s">
        <v>0</v>
      </c>
      <c r="B1" s="1" t="s">
        <v>1</v>
      </c>
      <c r="C1" s="1" t="s">
        <v>2</v>
      </c>
      <c r="D1" s="1" t="s">
        <v>3</v>
      </c>
      <c r="E1" s="2" t="s">
        <v>4</v>
      </c>
    </row>
    <row r="2">
      <c r="A2" s="3" t="s">
        <v>5</v>
      </c>
      <c r="B2" s="3"/>
      <c r="C2" s="3"/>
      <c r="D2" s="4" t="s">
        <v>6</v>
      </c>
    </row>
    <row r="3">
      <c r="A3" s="5" t="s">
        <v>7</v>
      </c>
      <c r="B3" s="5">
        <v>1.0</v>
      </c>
      <c r="C3" s="5" t="s">
        <v>5</v>
      </c>
      <c r="D3" s="6" t="s">
        <v>8</v>
      </c>
    </row>
    <row r="4">
      <c r="A4" s="7" t="s">
        <v>9</v>
      </c>
      <c r="B4" s="7">
        <v>1.0</v>
      </c>
      <c r="C4" s="7" t="s">
        <v>10</v>
      </c>
      <c r="D4" s="8" t="s">
        <v>11</v>
      </c>
    </row>
    <row r="5">
      <c r="A5" s="7" t="s">
        <v>9</v>
      </c>
      <c r="B5" s="7">
        <v>2.0</v>
      </c>
      <c r="C5" s="7" t="s">
        <v>10</v>
      </c>
      <c r="D5" s="8" t="s">
        <v>12</v>
      </c>
    </row>
    <row r="6">
      <c r="A6" s="7" t="s">
        <v>9</v>
      </c>
      <c r="B6" s="7">
        <v>3.0</v>
      </c>
      <c r="C6" s="7" t="s">
        <v>10</v>
      </c>
      <c r="D6" s="9" t="s">
        <v>13</v>
      </c>
    </row>
    <row r="7">
      <c r="A7" s="7" t="s">
        <v>9</v>
      </c>
      <c r="B7" s="7">
        <v>4.0</v>
      </c>
      <c r="C7" s="7" t="s">
        <v>10</v>
      </c>
      <c r="D7" s="8" t="s">
        <v>14</v>
      </c>
    </row>
    <row r="8">
      <c r="A8" s="7" t="s">
        <v>9</v>
      </c>
      <c r="B8" s="7">
        <v>5.0</v>
      </c>
      <c r="C8" s="7" t="s">
        <v>10</v>
      </c>
      <c r="D8" s="8" t="s">
        <v>15</v>
      </c>
      <c r="E8" s="10" t="s">
        <v>16</v>
      </c>
    </row>
    <row r="9">
      <c r="A9" s="7" t="s">
        <v>9</v>
      </c>
      <c r="B9" s="8">
        <v>6.0</v>
      </c>
      <c r="C9" s="7" t="s">
        <v>10</v>
      </c>
      <c r="D9" s="8" t="s">
        <v>17</v>
      </c>
    </row>
    <row r="10">
      <c r="A10" s="5" t="s">
        <v>7</v>
      </c>
      <c r="B10" s="5">
        <v>2.0</v>
      </c>
      <c r="C10" s="5" t="s">
        <v>5</v>
      </c>
      <c r="D10" s="6" t="s">
        <v>18</v>
      </c>
    </row>
    <row r="11">
      <c r="A11" s="7" t="s">
        <v>9</v>
      </c>
      <c r="B11" s="8">
        <v>7.0</v>
      </c>
      <c r="C11" s="8" t="s">
        <v>19</v>
      </c>
      <c r="D11" s="8" t="s">
        <v>20</v>
      </c>
    </row>
    <row r="12">
      <c r="A12" s="7" t="s">
        <v>9</v>
      </c>
      <c r="B12" s="8">
        <v>8.0</v>
      </c>
      <c r="C12" s="8" t="s">
        <v>19</v>
      </c>
      <c r="D12" s="9" t="s">
        <v>21</v>
      </c>
    </row>
    <row r="13">
      <c r="A13" s="7" t="s">
        <v>9</v>
      </c>
      <c r="B13" s="8">
        <v>9.0</v>
      </c>
      <c r="C13" s="8" t="s">
        <v>19</v>
      </c>
      <c r="D13" s="8" t="s">
        <v>22</v>
      </c>
    </row>
    <row r="14">
      <c r="A14" s="7" t="s">
        <v>9</v>
      </c>
      <c r="B14" s="8">
        <v>10.0</v>
      </c>
      <c r="C14" s="8" t="s">
        <v>19</v>
      </c>
      <c r="D14" s="9" t="s">
        <v>23</v>
      </c>
      <c r="E14" s="10" t="s">
        <v>24</v>
      </c>
    </row>
    <row r="15">
      <c r="A15" s="7" t="s">
        <v>9</v>
      </c>
      <c r="B15" s="8">
        <v>11.0</v>
      </c>
      <c r="C15" s="8" t="s">
        <v>19</v>
      </c>
      <c r="D15" s="8" t="s">
        <v>25</v>
      </c>
    </row>
    <row r="16">
      <c r="A16" s="5" t="s">
        <v>7</v>
      </c>
      <c r="B16" s="5">
        <v>3.0</v>
      </c>
      <c r="C16" s="5" t="s">
        <v>5</v>
      </c>
      <c r="D16" s="6" t="s">
        <v>26</v>
      </c>
    </row>
    <row r="17" ht="15.75" customHeight="1">
      <c r="A17" s="7" t="s">
        <v>9</v>
      </c>
      <c r="B17" s="8">
        <v>12.0</v>
      </c>
      <c r="C17" s="8" t="s">
        <v>27</v>
      </c>
      <c r="D17" s="8" t="s">
        <v>28</v>
      </c>
      <c r="E17" s="10" t="s">
        <v>29</v>
      </c>
    </row>
    <row r="18" ht="15.75" customHeight="1">
      <c r="A18" s="7" t="s">
        <v>9</v>
      </c>
      <c r="B18" s="8">
        <v>13.0</v>
      </c>
      <c r="C18" s="8" t="s">
        <v>27</v>
      </c>
      <c r="D18" s="8" t="s">
        <v>30</v>
      </c>
    </row>
    <row r="19" ht="15.75" customHeight="1">
      <c r="A19" s="7" t="s">
        <v>9</v>
      </c>
      <c r="B19" s="8">
        <v>14.0</v>
      </c>
      <c r="C19" s="8" t="s">
        <v>27</v>
      </c>
      <c r="D19" s="8" t="s">
        <v>31</v>
      </c>
    </row>
    <row r="20" ht="15.75" customHeight="1">
      <c r="A20" s="7" t="s">
        <v>9</v>
      </c>
      <c r="B20" s="8">
        <v>15.0</v>
      </c>
      <c r="C20" s="8" t="s">
        <v>27</v>
      </c>
      <c r="D20" s="8" t="s">
        <v>32</v>
      </c>
    </row>
    <row r="21" ht="15.75" customHeight="1">
      <c r="A21" s="7" t="s">
        <v>9</v>
      </c>
      <c r="B21" s="8">
        <v>16.0</v>
      </c>
      <c r="C21" s="8" t="s">
        <v>27</v>
      </c>
      <c r="D21" s="8" t="s">
        <v>33</v>
      </c>
    </row>
    <row r="22" ht="15.75" customHeight="1">
      <c r="A22" s="7" t="s">
        <v>9</v>
      </c>
      <c r="B22" s="8">
        <v>17.0</v>
      </c>
      <c r="C22" s="8" t="s">
        <v>27</v>
      </c>
      <c r="D22" s="8" t="s">
        <v>34</v>
      </c>
    </row>
    <row r="23" ht="15.75" customHeight="1">
      <c r="A23" s="7" t="s">
        <v>9</v>
      </c>
      <c r="B23" s="8">
        <v>18.0</v>
      </c>
      <c r="C23" s="8" t="s">
        <v>27</v>
      </c>
      <c r="D23" s="8" t="s">
        <v>35</v>
      </c>
    </row>
    <row r="24">
      <c r="A24" s="5" t="s">
        <v>7</v>
      </c>
      <c r="B24" s="5">
        <v>4.0</v>
      </c>
      <c r="C24" s="5" t="s">
        <v>5</v>
      </c>
      <c r="D24" s="6" t="s">
        <v>36</v>
      </c>
    </row>
    <row r="25" ht="15.75" customHeight="1">
      <c r="A25" s="7" t="s">
        <v>9</v>
      </c>
      <c r="B25" s="8">
        <v>19.0</v>
      </c>
      <c r="C25" s="8" t="s">
        <v>37</v>
      </c>
      <c r="D25" s="8" t="s">
        <v>38</v>
      </c>
    </row>
    <row r="26" ht="15.75" customHeight="1">
      <c r="A26" s="7" t="s">
        <v>9</v>
      </c>
      <c r="B26" s="8">
        <v>20.0</v>
      </c>
      <c r="C26" s="8" t="s">
        <v>37</v>
      </c>
      <c r="D26" s="8" t="s">
        <v>39</v>
      </c>
    </row>
    <row r="27" ht="15.75" customHeight="1">
      <c r="A27" s="7" t="s">
        <v>9</v>
      </c>
      <c r="B27" s="8">
        <v>21.0</v>
      </c>
      <c r="C27" s="8" t="s">
        <v>37</v>
      </c>
      <c r="D27" s="8" t="s">
        <v>40</v>
      </c>
    </row>
    <row r="28" ht="15.75" customHeight="1">
      <c r="A28" s="7" t="s">
        <v>9</v>
      </c>
      <c r="B28" s="8">
        <v>22.0</v>
      </c>
      <c r="C28" s="8" t="s">
        <v>37</v>
      </c>
      <c r="D28" s="8" t="s">
        <v>41</v>
      </c>
    </row>
    <row r="29" ht="15.75" customHeight="1">
      <c r="A29" s="7" t="s">
        <v>9</v>
      </c>
      <c r="B29" s="8">
        <v>23.0</v>
      </c>
      <c r="C29" s="8" t="s">
        <v>37</v>
      </c>
      <c r="D29" s="8" t="s">
        <v>42</v>
      </c>
    </row>
    <row r="30" ht="15.75" customHeight="1">
      <c r="A30" s="7" t="s">
        <v>9</v>
      </c>
      <c r="B30" s="8">
        <v>24.0</v>
      </c>
      <c r="C30" s="8" t="s">
        <v>37</v>
      </c>
      <c r="D30" s="8" t="s">
        <v>43</v>
      </c>
      <c r="E30" s="10" t="s">
        <v>44</v>
      </c>
    </row>
    <row r="31">
      <c r="A31" s="5" t="s">
        <v>7</v>
      </c>
      <c r="B31" s="5">
        <v>5.0</v>
      </c>
      <c r="C31" s="5" t="s">
        <v>5</v>
      </c>
      <c r="D31" s="6" t="s">
        <v>45</v>
      </c>
    </row>
    <row r="32" ht="15.75" customHeight="1">
      <c r="A32" s="7" t="s">
        <v>9</v>
      </c>
      <c r="B32" s="8">
        <v>25.0</v>
      </c>
      <c r="C32" s="8" t="s">
        <v>46</v>
      </c>
      <c r="D32" s="8" t="s">
        <v>47</v>
      </c>
      <c r="E32" s="10" t="s">
        <v>48</v>
      </c>
    </row>
    <row r="33" ht="15.75" customHeight="1">
      <c r="A33" s="7" t="s">
        <v>9</v>
      </c>
      <c r="B33" s="8">
        <v>26.0</v>
      </c>
      <c r="C33" s="8" t="s">
        <v>46</v>
      </c>
      <c r="D33" s="8" t="s">
        <v>49</v>
      </c>
    </row>
    <row r="34" ht="15.75" customHeight="1">
      <c r="A34" s="7" t="s">
        <v>9</v>
      </c>
      <c r="B34" s="8">
        <v>27.0</v>
      </c>
      <c r="C34" s="8" t="s">
        <v>46</v>
      </c>
      <c r="D34" s="8" t="s">
        <v>50</v>
      </c>
    </row>
    <row r="35" ht="15.75" customHeight="1">
      <c r="A35" s="7" t="s">
        <v>9</v>
      </c>
      <c r="B35" s="8">
        <v>28.0</v>
      </c>
      <c r="C35" s="8" t="s">
        <v>46</v>
      </c>
      <c r="D35" s="8" t="s">
        <v>51</v>
      </c>
    </row>
    <row r="36" ht="15.75" customHeight="1">
      <c r="A36" s="7" t="s">
        <v>9</v>
      </c>
      <c r="B36" s="8">
        <v>29.0</v>
      </c>
      <c r="C36" s="8" t="s">
        <v>46</v>
      </c>
      <c r="D36" s="8" t="s">
        <v>52</v>
      </c>
    </row>
    <row r="37" ht="15.75" customHeight="1">
      <c r="A37" s="7" t="s">
        <v>9</v>
      </c>
      <c r="B37" s="8">
        <v>30.0</v>
      </c>
      <c r="C37" s="8" t="s">
        <v>46</v>
      </c>
      <c r="D37" s="8" t="s">
        <v>53</v>
      </c>
      <c r="E37" s="10" t="s">
        <v>54</v>
      </c>
    </row>
    <row r="38" ht="15.75" customHeight="1">
      <c r="A38" s="7" t="s">
        <v>9</v>
      </c>
      <c r="B38" s="8">
        <v>31.0</v>
      </c>
      <c r="C38" s="8" t="s">
        <v>46</v>
      </c>
      <c r="D38" s="8" t="s">
        <v>55</v>
      </c>
    </row>
    <row r="39" ht="15.75" customHeight="1">
      <c r="A39" s="7" t="s">
        <v>9</v>
      </c>
      <c r="B39" s="8">
        <v>32.0</v>
      </c>
      <c r="C39" s="8" t="s">
        <v>46</v>
      </c>
      <c r="D39" s="8" t="s">
        <v>56</v>
      </c>
    </row>
    <row r="40" ht="15.75" customHeight="1">
      <c r="A40" s="7" t="s">
        <v>9</v>
      </c>
      <c r="B40" s="8">
        <v>33.0</v>
      </c>
      <c r="C40" s="8" t="s">
        <v>46</v>
      </c>
      <c r="D40" s="8" t="s">
        <v>57</v>
      </c>
      <c r="E40" s="11" t="s">
        <v>58</v>
      </c>
    </row>
    <row r="41">
      <c r="A41" s="5" t="s">
        <v>7</v>
      </c>
      <c r="B41" s="5">
        <v>6.0</v>
      </c>
      <c r="C41" s="5" t="s">
        <v>5</v>
      </c>
      <c r="D41" s="6" t="s">
        <v>59</v>
      </c>
    </row>
    <row r="42">
      <c r="A42" s="8" t="s">
        <v>9</v>
      </c>
      <c r="B42" s="8">
        <v>34.0</v>
      </c>
      <c r="C42" s="8" t="s">
        <v>60</v>
      </c>
      <c r="D42" s="8" t="s">
        <v>61</v>
      </c>
    </row>
    <row r="43" ht="15.75" customHeight="1">
      <c r="A43" s="8" t="s">
        <v>9</v>
      </c>
      <c r="B43" s="8">
        <v>35.0</v>
      </c>
      <c r="C43" s="8" t="s">
        <v>60</v>
      </c>
      <c r="D43" s="8" t="s">
        <v>62</v>
      </c>
    </row>
    <row r="44" ht="15.75" customHeight="1">
      <c r="A44" s="8" t="s">
        <v>9</v>
      </c>
      <c r="B44" s="8">
        <v>36.0</v>
      </c>
      <c r="C44" s="8" t="s">
        <v>60</v>
      </c>
      <c r="D44" s="9" t="s">
        <v>63</v>
      </c>
    </row>
    <row r="45" ht="15.75" customHeight="1">
      <c r="A45" s="8" t="s">
        <v>9</v>
      </c>
      <c r="B45" s="8">
        <v>37.0</v>
      </c>
      <c r="C45" s="8" t="s">
        <v>60</v>
      </c>
      <c r="D45" s="8" t="s">
        <v>64</v>
      </c>
      <c r="E45" s="10" t="s">
        <v>65</v>
      </c>
    </row>
    <row r="46" ht="15.75" customHeight="1">
      <c r="A46" s="8" t="s">
        <v>9</v>
      </c>
      <c r="B46" s="8">
        <v>38.0</v>
      </c>
      <c r="C46" s="8" t="s">
        <v>60</v>
      </c>
      <c r="D46" s="8" t="s">
        <v>66</v>
      </c>
    </row>
    <row r="47" ht="15.75" customHeight="1">
      <c r="A47" s="8" t="s">
        <v>9</v>
      </c>
      <c r="B47" s="8">
        <v>39.0</v>
      </c>
      <c r="C47" s="8" t="s">
        <v>60</v>
      </c>
      <c r="D47" s="8" t="s">
        <v>67</v>
      </c>
    </row>
    <row r="48">
      <c r="A48" s="5" t="s">
        <v>7</v>
      </c>
      <c r="B48" s="5">
        <v>7.0</v>
      </c>
      <c r="C48" s="5" t="s">
        <v>5</v>
      </c>
      <c r="D48" s="6" t="s">
        <v>68</v>
      </c>
    </row>
    <row r="49" ht="15.75" customHeight="1">
      <c r="A49" s="8" t="s">
        <v>9</v>
      </c>
      <c r="B49" s="8">
        <v>40.0</v>
      </c>
      <c r="C49" s="8" t="s">
        <v>69</v>
      </c>
      <c r="D49" s="8" t="s">
        <v>70</v>
      </c>
    </row>
    <row r="50" ht="15.75" customHeight="1">
      <c r="A50" s="8" t="s">
        <v>9</v>
      </c>
      <c r="B50" s="8">
        <v>41.0</v>
      </c>
      <c r="C50" s="8" t="s">
        <v>69</v>
      </c>
      <c r="D50" s="8" t="s">
        <v>71</v>
      </c>
    </row>
    <row r="51" ht="15.75" customHeight="1">
      <c r="A51" s="8" t="s">
        <v>9</v>
      </c>
      <c r="B51" s="8">
        <v>42.0</v>
      </c>
      <c r="C51" s="8" t="s">
        <v>69</v>
      </c>
      <c r="D51" s="8" t="s">
        <v>72</v>
      </c>
    </row>
    <row r="52" ht="15.75" customHeight="1">
      <c r="A52" s="8" t="s">
        <v>9</v>
      </c>
      <c r="B52" s="8">
        <v>43.0</v>
      </c>
      <c r="C52" s="8" t="s">
        <v>69</v>
      </c>
      <c r="D52" s="8" t="s">
        <v>73</v>
      </c>
      <c r="E52" s="12" t="s">
        <v>74</v>
      </c>
    </row>
    <row r="53">
      <c r="A53" s="8"/>
      <c r="B53" s="8"/>
      <c r="C53" s="8"/>
      <c r="D53" s="8"/>
    </row>
    <row r="54" ht="15.75" customHeight="1">
      <c r="A54" s="8"/>
      <c r="B54" s="8"/>
      <c r="C54" s="8"/>
      <c r="D54" s="8"/>
    </row>
    <row r="55" ht="15.75" customHeight="1">
      <c r="A55" s="8"/>
      <c r="B55" s="8"/>
      <c r="C55" s="8"/>
      <c r="D55" s="8"/>
    </row>
    <row r="56" ht="15.75" customHeight="1">
      <c r="A56" s="8"/>
      <c r="B56" s="8"/>
      <c r="C56" s="8"/>
      <c r="D56" s="8"/>
    </row>
    <row r="57" ht="15.75" customHeight="1">
      <c r="A57" s="8"/>
      <c r="B57" s="8"/>
      <c r="C57" s="8"/>
      <c r="D57" s="8"/>
    </row>
    <row r="58" ht="15.75" customHeight="1">
      <c r="A58" s="8"/>
      <c r="B58" s="8"/>
      <c r="C58" s="8"/>
      <c r="D58" s="8"/>
    </row>
    <row r="59" ht="15.75" customHeight="1">
      <c r="D59" s="13"/>
    </row>
    <row r="60" ht="15.75" customHeight="1">
      <c r="D60" s="13"/>
    </row>
    <row r="61" ht="15.75" customHeight="1">
      <c r="D61" s="13"/>
    </row>
    <row r="62" ht="15.75" customHeight="1">
      <c r="D62" s="13"/>
    </row>
    <row r="63" ht="15.75" customHeight="1">
      <c r="D63" s="13"/>
    </row>
    <row r="64" ht="15.75" customHeight="1">
      <c r="D64" s="13"/>
    </row>
    <row r="65" ht="15.75" customHeight="1">
      <c r="D65" s="13"/>
    </row>
    <row r="66" ht="15.75" customHeight="1">
      <c r="D66" s="13"/>
    </row>
    <row r="67" ht="15.75" customHeight="1">
      <c r="D67" s="13"/>
    </row>
    <row r="68" ht="15.75" customHeight="1">
      <c r="D68" s="13"/>
    </row>
    <row r="69" ht="15.75" customHeight="1">
      <c r="D69" s="13"/>
    </row>
    <row r="70" ht="15.75" customHeight="1">
      <c r="D70" s="13"/>
    </row>
    <row r="71" ht="15.75" customHeight="1">
      <c r="D71" s="13"/>
    </row>
    <row r="72" ht="15.75" customHeight="1">
      <c r="D72" s="13"/>
    </row>
    <row r="73" ht="15.75" customHeight="1">
      <c r="D73" s="13"/>
    </row>
    <row r="74" ht="15.75" customHeight="1">
      <c r="D74" s="13"/>
    </row>
    <row r="75" ht="15.75" customHeight="1">
      <c r="D75" s="13"/>
    </row>
    <row r="76" ht="15.75" customHeight="1">
      <c r="D76" s="13"/>
    </row>
    <row r="77" ht="15.75" customHeight="1">
      <c r="D77" s="13"/>
    </row>
    <row r="78" ht="15.75" customHeight="1">
      <c r="D78" s="13"/>
    </row>
    <row r="79" ht="15.75" customHeight="1">
      <c r="D79" s="13"/>
    </row>
    <row r="80" ht="15.75" customHeight="1">
      <c r="D80" s="13"/>
    </row>
    <row r="81" ht="15.75" customHeight="1">
      <c r="D81" s="13"/>
    </row>
    <row r="82" ht="15.75" customHeight="1">
      <c r="D82" s="13"/>
    </row>
    <row r="83" ht="15.75" customHeight="1">
      <c r="D83" s="13"/>
    </row>
    <row r="84" ht="15.75" customHeight="1">
      <c r="D84" s="13"/>
    </row>
    <row r="85" ht="15.75" customHeight="1">
      <c r="D85" s="13"/>
    </row>
    <row r="86" ht="15.75" customHeight="1">
      <c r="D86" s="13"/>
    </row>
    <row r="87" ht="15.75" customHeight="1">
      <c r="D87" s="13"/>
    </row>
    <row r="88" ht="15.75" customHeight="1">
      <c r="D88" s="13"/>
    </row>
    <row r="89" ht="15.75" customHeight="1">
      <c r="D89" s="13"/>
    </row>
    <row r="90" ht="15.75" customHeight="1">
      <c r="D90" s="13"/>
    </row>
    <row r="91" ht="15.75" customHeight="1">
      <c r="D91" s="13"/>
    </row>
    <row r="92" ht="15.75" customHeight="1">
      <c r="D92" s="13"/>
    </row>
    <row r="93" ht="15.75" customHeight="1">
      <c r="D93" s="13"/>
    </row>
    <row r="94" ht="15.75" customHeight="1">
      <c r="D94" s="13"/>
    </row>
    <row r="95" ht="15.75" customHeight="1">
      <c r="D95" s="13"/>
    </row>
    <row r="96" ht="15.75" customHeight="1">
      <c r="D96" s="13"/>
    </row>
    <row r="97" ht="15.75" customHeight="1">
      <c r="D97" s="13"/>
    </row>
    <row r="98" ht="15.75" customHeight="1">
      <c r="D98" s="13"/>
    </row>
    <row r="99" ht="15.75" customHeight="1">
      <c r="D99" s="13"/>
    </row>
    <row r="100" ht="15.75" customHeight="1">
      <c r="D100" s="13"/>
    </row>
    <row r="101" ht="15.75" customHeight="1">
      <c r="D101" s="13"/>
    </row>
    <row r="102" ht="15.75" customHeight="1">
      <c r="D102" s="13"/>
    </row>
    <row r="103" ht="15.75" customHeight="1">
      <c r="D103" s="13"/>
    </row>
    <row r="104" ht="15.75" customHeight="1">
      <c r="D104" s="13"/>
    </row>
    <row r="105" ht="15.75" customHeight="1">
      <c r="D105" s="13"/>
    </row>
    <row r="106" ht="15.75" customHeight="1">
      <c r="D106" s="13"/>
    </row>
    <row r="107" ht="15.75" customHeight="1">
      <c r="D107" s="13"/>
    </row>
    <row r="108" ht="15.75" customHeight="1">
      <c r="D108" s="13"/>
    </row>
    <row r="109" ht="15.75" customHeight="1">
      <c r="D109" s="13"/>
    </row>
    <row r="110" ht="15.75" customHeight="1">
      <c r="D110" s="13"/>
    </row>
    <row r="111" ht="15.75" customHeight="1">
      <c r="D111" s="13"/>
    </row>
    <row r="112" ht="15.75" customHeight="1">
      <c r="D112" s="13"/>
    </row>
    <row r="113" ht="15.75" customHeight="1">
      <c r="D113" s="13"/>
    </row>
    <row r="114" ht="15.75" customHeight="1">
      <c r="D114" s="13"/>
    </row>
    <row r="115" ht="15.75" customHeight="1">
      <c r="D115" s="13"/>
    </row>
    <row r="116" ht="15.75" customHeight="1">
      <c r="D116" s="13"/>
    </row>
    <row r="117" ht="15.75" customHeight="1">
      <c r="D117" s="13"/>
    </row>
    <row r="118" ht="15.75" customHeight="1">
      <c r="D118" s="13"/>
    </row>
    <row r="119" ht="15.75" customHeight="1">
      <c r="D119" s="13"/>
    </row>
    <row r="120" ht="15.75" customHeight="1">
      <c r="D120" s="13"/>
    </row>
    <row r="121" ht="15.75" customHeight="1">
      <c r="D121" s="13"/>
    </row>
    <row r="122" ht="15.75" customHeight="1">
      <c r="D122" s="13"/>
    </row>
    <row r="123" ht="15.75" customHeight="1">
      <c r="D123" s="13"/>
    </row>
    <row r="124" ht="15.75" customHeight="1">
      <c r="D124" s="13"/>
    </row>
    <row r="125" ht="15.75" customHeight="1">
      <c r="D125" s="13"/>
    </row>
    <row r="126" ht="15.75" customHeight="1">
      <c r="D126" s="13"/>
    </row>
    <row r="127" ht="15.75" customHeight="1">
      <c r="D127" s="13"/>
    </row>
    <row r="128" ht="15.75" customHeight="1">
      <c r="D128" s="13"/>
    </row>
    <row r="129" ht="15.75" customHeight="1">
      <c r="D129" s="13"/>
    </row>
    <row r="130" ht="15.75" customHeight="1">
      <c r="D130" s="13"/>
    </row>
    <row r="131" ht="15.75" customHeight="1">
      <c r="D131" s="13"/>
    </row>
    <row r="132" ht="15.75" customHeight="1">
      <c r="D132" s="13"/>
    </row>
    <row r="133" ht="15.75" customHeight="1">
      <c r="D133" s="13"/>
    </row>
    <row r="134" ht="15.75" customHeight="1">
      <c r="D134" s="13"/>
    </row>
    <row r="135" ht="15.75" customHeight="1">
      <c r="D135" s="13"/>
    </row>
    <row r="136" ht="15.75" customHeight="1">
      <c r="D136" s="13"/>
    </row>
    <row r="137" ht="15.75" customHeight="1">
      <c r="D137" s="13"/>
    </row>
    <row r="138" ht="15.75" customHeight="1">
      <c r="D138" s="13"/>
    </row>
    <row r="139" ht="15.75" customHeight="1">
      <c r="D139" s="13"/>
    </row>
    <row r="140" ht="15.75" customHeight="1">
      <c r="D140" s="13"/>
    </row>
    <row r="141" ht="15.75" customHeight="1">
      <c r="D141" s="13"/>
    </row>
    <row r="142" ht="15.75" customHeight="1">
      <c r="D142" s="13"/>
    </row>
    <row r="143" ht="15.75" customHeight="1">
      <c r="D143" s="13"/>
    </row>
    <row r="144" ht="15.75" customHeight="1">
      <c r="D144" s="13"/>
    </row>
    <row r="145" ht="15.75" customHeight="1">
      <c r="D145" s="13"/>
    </row>
    <row r="146" ht="15.75" customHeight="1">
      <c r="D146" s="13"/>
    </row>
    <row r="147" ht="15.75" customHeight="1">
      <c r="D147" s="13"/>
    </row>
    <row r="148" ht="15.75" customHeight="1">
      <c r="D148" s="13"/>
    </row>
    <row r="149" ht="15.75" customHeight="1">
      <c r="D149" s="13"/>
    </row>
    <row r="150" ht="15.75" customHeight="1">
      <c r="D150" s="13"/>
    </row>
    <row r="151" ht="15.75" customHeight="1">
      <c r="D151" s="13"/>
    </row>
    <row r="152" ht="15.75" customHeight="1">
      <c r="D152" s="13"/>
    </row>
    <row r="153" ht="15.75" customHeight="1">
      <c r="D153" s="13"/>
    </row>
    <row r="154" ht="15.75" customHeight="1">
      <c r="D154" s="13"/>
    </row>
    <row r="155" ht="15.75" customHeight="1">
      <c r="D155" s="13"/>
    </row>
    <row r="156" ht="15.75" customHeight="1">
      <c r="D156" s="13"/>
    </row>
    <row r="157" ht="15.75" customHeight="1">
      <c r="D157" s="13"/>
    </row>
    <row r="158" ht="15.75" customHeight="1">
      <c r="D158" s="13"/>
    </row>
    <row r="159" ht="15.75" customHeight="1">
      <c r="D159" s="13"/>
    </row>
    <row r="160" ht="15.75" customHeight="1">
      <c r="D160" s="13"/>
    </row>
    <row r="161" ht="15.75" customHeight="1">
      <c r="D161" s="13"/>
    </row>
    <row r="162" ht="15.75" customHeight="1">
      <c r="D162" s="13"/>
    </row>
    <row r="163" ht="15.75" customHeight="1">
      <c r="D163" s="13"/>
    </row>
    <row r="164" ht="15.75" customHeight="1">
      <c r="D164" s="13"/>
    </row>
    <row r="165" ht="15.75" customHeight="1">
      <c r="D165" s="13"/>
    </row>
    <row r="166" ht="15.75" customHeight="1">
      <c r="D166" s="13"/>
    </row>
    <row r="167" ht="15.75" customHeight="1">
      <c r="D167" s="13"/>
    </row>
    <row r="168" ht="15.75" customHeight="1">
      <c r="D168" s="13"/>
    </row>
    <row r="169" ht="15.75" customHeight="1">
      <c r="D169" s="13"/>
    </row>
    <row r="170" ht="15.75" customHeight="1">
      <c r="D170" s="13"/>
    </row>
    <row r="171" ht="15.75" customHeight="1">
      <c r="D171" s="13"/>
    </row>
    <row r="172" ht="15.75" customHeight="1">
      <c r="D172" s="13"/>
    </row>
    <row r="173" ht="15.75" customHeight="1">
      <c r="D173" s="13"/>
    </row>
    <row r="174" ht="15.75" customHeight="1">
      <c r="D174" s="13"/>
    </row>
    <row r="175" ht="15.75" customHeight="1">
      <c r="D175" s="13"/>
    </row>
    <row r="176" ht="15.75" customHeight="1">
      <c r="D176" s="13"/>
    </row>
    <row r="177" ht="15.75" customHeight="1">
      <c r="D177" s="13"/>
    </row>
    <row r="178" ht="15.75" customHeight="1">
      <c r="D178" s="13"/>
    </row>
    <row r="179" ht="15.75" customHeight="1">
      <c r="D179" s="13"/>
    </row>
    <row r="180" ht="15.75" customHeight="1">
      <c r="D180" s="13"/>
    </row>
    <row r="181" ht="15.75" customHeight="1">
      <c r="D181" s="13"/>
    </row>
    <row r="182" ht="15.75" customHeight="1">
      <c r="D182" s="13"/>
    </row>
    <row r="183" ht="15.75" customHeight="1">
      <c r="D183" s="13"/>
    </row>
    <row r="184" ht="15.75" customHeight="1">
      <c r="D184" s="13"/>
    </row>
    <row r="185" ht="15.75" customHeight="1">
      <c r="D185" s="13"/>
    </row>
    <row r="186" ht="15.75" customHeight="1">
      <c r="D186" s="13"/>
    </row>
    <row r="187" ht="15.75" customHeight="1">
      <c r="D187" s="13"/>
    </row>
    <row r="188" ht="15.75" customHeight="1">
      <c r="D188" s="13"/>
    </row>
    <row r="189" ht="15.75" customHeight="1">
      <c r="D189" s="13"/>
    </row>
    <row r="190" ht="15.75" customHeight="1">
      <c r="D190" s="13"/>
    </row>
    <row r="191" ht="15.75" customHeight="1">
      <c r="D191" s="13"/>
    </row>
    <row r="192" ht="15.75" customHeight="1">
      <c r="D192" s="13"/>
    </row>
    <row r="193" ht="15.75" customHeight="1">
      <c r="D193" s="13"/>
    </row>
    <row r="194" ht="15.75" customHeight="1">
      <c r="D194" s="13"/>
    </row>
    <row r="195" ht="15.75" customHeight="1">
      <c r="D195" s="13"/>
    </row>
    <row r="196" ht="15.75" customHeight="1">
      <c r="D196" s="13"/>
    </row>
    <row r="197" ht="15.75" customHeight="1">
      <c r="D197" s="13"/>
    </row>
    <row r="198" ht="15.75" customHeight="1">
      <c r="D198" s="13"/>
    </row>
    <row r="199" ht="15.75" customHeight="1">
      <c r="D199" s="13"/>
    </row>
    <row r="200" ht="15.75" customHeight="1">
      <c r="D200" s="13"/>
    </row>
    <row r="201" ht="15.75" customHeight="1">
      <c r="D201" s="13"/>
    </row>
    <row r="202" ht="15.75" customHeight="1">
      <c r="D202" s="13"/>
    </row>
    <row r="203" ht="15.75" customHeight="1">
      <c r="D203" s="13"/>
    </row>
    <row r="204" ht="15.75" customHeight="1">
      <c r="D204" s="13"/>
    </row>
    <row r="205" ht="15.75" customHeight="1">
      <c r="D205" s="13"/>
    </row>
    <row r="206" ht="15.75" customHeight="1">
      <c r="D206" s="13"/>
    </row>
    <row r="207" ht="15.75" customHeight="1">
      <c r="D207" s="13"/>
    </row>
    <row r="208" ht="15.75" customHeight="1">
      <c r="D208" s="13"/>
    </row>
    <row r="209" ht="15.75" customHeight="1">
      <c r="D209" s="13"/>
    </row>
    <row r="210" ht="15.75" customHeight="1">
      <c r="D210" s="13"/>
    </row>
    <row r="211" ht="15.75" customHeight="1">
      <c r="D211" s="13"/>
    </row>
    <row r="212" ht="15.75" customHeight="1">
      <c r="D212" s="13"/>
    </row>
    <row r="213" ht="15.75" customHeight="1">
      <c r="D213" s="13"/>
    </row>
    <row r="214" ht="15.75" customHeight="1">
      <c r="D214" s="13"/>
    </row>
    <row r="215" ht="15.75" customHeight="1">
      <c r="D215" s="13"/>
    </row>
    <row r="216" ht="15.75" customHeight="1">
      <c r="D216" s="13"/>
    </row>
    <row r="217" ht="15.75" customHeight="1">
      <c r="D217" s="13"/>
    </row>
    <row r="218" ht="15.75" customHeight="1">
      <c r="D218" s="13"/>
    </row>
    <row r="219" ht="15.75" customHeight="1">
      <c r="D219" s="13"/>
    </row>
    <row r="220" ht="15.75" customHeight="1">
      <c r="D220" s="13"/>
    </row>
    <row r="221" ht="15.75" customHeight="1">
      <c r="D221" s="13"/>
    </row>
    <row r="222" ht="15.75" customHeight="1">
      <c r="D222" s="13"/>
    </row>
    <row r="223" ht="15.75" customHeight="1">
      <c r="D223" s="13"/>
    </row>
    <row r="224" ht="15.75" customHeight="1">
      <c r="D224" s="13"/>
    </row>
    <row r="225" ht="15.75" customHeight="1">
      <c r="D225" s="13"/>
    </row>
    <row r="226" ht="15.75" customHeight="1">
      <c r="D226" s="13"/>
    </row>
    <row r="227" ht="15.75" customHeight="1">
      <c r="D227" s="13"/>
    </row>
    <row r="228" ht="15.75" customHeight="1">
      <c r="D228" s="13"/>
    </row>
    <row r="229" ht="15.75" customHeight="1">
      <c r="D229" s="13"/>
    </row>
    <row r="230" ht="15.75" customHeight="1">
      <c r="D230" s="13"/>
    </row>
    <row r="231" ht="15.75" customHeight="1">
      <c r="D231" s="13"/>
    </row>
    <row r="232" ht="15.75" customHeight="1">
      <c r="D232" s="13"/>
    </row>
    <row r="233" ht="15.75" customHeight="1">
      <c r="D233" s="13"/>
    </row>
    <row r="234" ht="15.75" customHeight="1">
      <c r="D234" s="13"/>
    </row>
    <row r="235" ht="15.75" customHeight="1">
      <c r="D235" s="13"/>
    </row>
    <row r="236" ht="15.75" customHeight="1">
      <c r="D236" s="13"/>
    </row>
    <row r="237" ht="15.75" customHeight="1">
      <c r="D237" s="13"/>
    </row>
    <row r="238" ht="15.75" customHeight="1">
      <c r="D238" s="13"/>
    </row>
    <row r="239" ht="15.75" customHeight="1">
      <c r="D239" s="13"/>
    </row>
    <row r="240" ht="15.75" customHeight="1">
      <c r="D240" s="13"/>
    </row>
    <row r="241" ht="15.75" customHeight="1">
      <c r="D241" s="13"/>
    </row>
    <row r="242" ht="15.75" customHeight="1">
      <c r="D242" s="13"/>
    </row>
    <row r="243" ht="15.75" customHeight="1">
      <c r="D243" s="13"/>
    </row>
    <row r="244" ht="15.75" customHeight="1">
      <c r="D244" s="13"/>
    </row>
    <row r="245" ht="15.75" customHeight="1">
      <c r="D245" s="13"/>
    </row>
    <row r="246" ht="15.75" customHeight="1">
      <c r="D246" s="13"/>
    </row>
    <row r="247" ht="15.75" customHeight="1">
      <c r="D247" s="13"/>
    </row>
    <row r="248" ht="15.75" customHeight="1">
      <c r="D248" s="13"/>
    </row>
    <row r="249" ht="15.75" customHeight="1">
      <c r="D249" s="13"/>
    </row>
    <row r="250" ht="15.75" customHeight="1">
      <c r="D250" s="13"/>
    </row>
    <row r="251" ht="15.75" customHeight="1">
      <c r="D251" s="13"/>
    </row>
    <row r="252" ht="15.75" customHeight="1">
      <c r="D252" s="13"/>
    </row>
    <row r="253" ht="15.75" customHeight="1">
      <c r="D253" s="13"/>
    </row>
    <row r="254" ht="15.75" customHeight="1">
      <c r="D254" s="13"/>
    </row>
    <row r="255" ht="15.75" customHeight="1">
      <c r="D255" s="13"/>
    </row>
    <row r="256" ht="15.75" customHeight="1">
      <c r="D256" s="13"/>
    </row>
    <row r="257" ht="15.75" customHeight="1">
      <c r="D257" s="13"/>
    </row>
    <row r="258" ht="15.75" customHeight="1">
      <c r="D258" s="13"/>
    </row>
    <row r="259" ht="15.75" customHeight="1">
      <c r="D259" s="13"/>
    </row>
    <row r="260" ht="15.75" customHeight="1">
      <c r="D260" s="13"/>
    </row>
    <row r="261" ht="15.75" customHeight="1">
      <c r="D261" s="13"/>
    </row>
    <row r="262" ht="15.75" customHeight="1">
      <c r="D262" s="13"/>
    </row>
    <row r="263" ht="15.75" customHeight="1">
      <c r="D263" s="13"/>
    </row>
    <row r="264" ht="15.75" customHeight="1">
      <c r="D264" s="13"/>
    </row>
    <row r="265" ht="15.75" customHeight="1">
      <c r="D265" s="13"/>
    </row>
    <row r="266" ht="15.75" customHeight="1">
      <c r="D266" s="13"/>
    </row>
    <row r="267" ht="15.75" customHeight="1">
      <c r="D267" s="13"/>
    </row>
    <row r="268" ht="15.75" customHeight="1">
      <c r="D268" s="13"/>
    </row>
    <row r="269" ht="15.75" customHeight="1">
      <c r="D269" s="13"/>
    </row>
    <row r="270" ht="15.75" customHeight="1">
      <c r="D270" s="13"/>
    </row>
    <row r="271" ht="15.75" customHeight="1">
      <c r="D271" s="13"/>
    </row>
    <row r="272" ht="15.75" customHeight="1">
      <c r="D272" s="13"/>
    </row>
    <row r="273" ht="15.75" customHeight="1">
      <c r="D273" s="13"/>
    </row>
    <row r="274" ht="15.75" customHeight="1">
      <c r="D274" s="13"/>
    </row>
    <row r="275" ht="15.75" customHeight="1">
      <c r="D275" s="13"/>
    </row>
    <row r="276" ht="15.75" customHeight="1">
      <c r="D276" s="13"/>
    </row>
    <row r="277" ht="15.75" customHeight="1">
      <c r="D277" s="13"/>
    </row>
    <row r="278" ht="15.75" customHeight="1">
      <c r="D278" s="13"/>
    </row>
    <row r="279" ht="15.75" customHeight="1">
      <c r="D279" s="13"/>
    </row>
    <row r="280" ht="15.75" customHeight="1">
      <c r="D280" s="13"/>
    </row>
    <row r="281" ht="15.75" customHeight="1">
      <c r="D281" s="13"/>
    </row>
    <row r="282" ht="15.75" customHeight="1">
      <c r="D282" s="13"/>
    </row>
    <row r="283" ht="15.75" customHeight="1">
      <c r="D283" s="13"/>
    </row>
    <row r="284" ht="15.75" customHeight="1">
      <c r="D284" s="13"/>
    </row>
    <row r="285" ht="15.75" customHeight="1">
      <c r="D285" s="13"/>
    </row>
    <row r="286" ht="15.75" customHeight="1">
      <c r="D286" s="13"/>
    </row>
    <row r="287" ht="15.75" customHeight="1">
      <c r="D287" s="13"/>
    </row>
    <row r="288" ht="15.75" customHeight="1">
      <c r="D288" s="13"/>
    </row>
    <row r="289" ht="15.75" customHeight="1">
      <c r="D289" s="13"/>
    </row>
    <row r="290" ht="15.75" customHeight="1">
      <c r="D290" s="13"/>
    </row>
    <row r="291" ht="15.75" customHeight="1">
      <c r="D291" s="13"/>
    </row>
    <row r="292" ht="15.75" customHeight="1">
      <c r="D292" s="13"/>
    </row>
    <row r="293" ht="15.75" customHeight="1">
      <c r="D293" s="13"/>
    </row>
    <row r="294" ht="15.75" customHeight="1">
      <c r="D294" s="13"/>
    </row>
    <row r="295" ht="15.75" customHeight="1">
      <c r="D295" s="13"/>
    </row>
    <row r="296" ht="15.75" customHeight="1">
      <c r="D296" s="13"/>
    </row>
    <row r="297" ht="15.75" customHeight="1">
      <c r="D297" s="13"/>
    </row>
    <row r="298" ht="15.75" customHeight="1">
      <c r="D298" s="13"/>
    </row>
    <row r="299" ht="15.75" customHeight="1">
      <c r="D299" s="13"/>
    </row>
    <row r="300" ht="15.75" customHeight="1">
      <c r="D300" s="13"/>
    </row>
    <row r="301" ht="15.75" customHeight="1">
      <c r="D301" s="13"/>
    </row>
    <row r="302" ht="15.75" customHeight="1">
      <c r="D302" s="13"/>
    </row>
    <row r="303" ht="15.75" customHeight="1">
      <c r="D303" s="13"/>
    </row>
    <row r="304" ht="15.75" customHeight="1">
      <c r="D304" s="13"/>
    </row>
    <row r="305" ht="15.75" customHeight="1">
      <c r="D305" s="13"/>
    </row>
    <row r="306" ht="15.75" customHeight="1">
      <c r="D306" s="13"/>
    </row>
    <row r="307" ht="15.75" customHeight="1">
      <c r="D307" s="13"/>
    </row>
    <row r="308" ht="15.75" customHeight="1">
      <c r="D308" s="13"/>
    </row>
    <row r="309" ht="15.75" customHeight="1">
      <c r="D309" s="13"/>
    </row>
    <row r="310" ht="15.75" customHeight="1">
      <c r="D310" s="13"/>
    </row>
    <row r="311" ht="15.75" customHeight="1">
      <c r="D311" s="13"/>
    </row>
    <row r="312" ht="15.75" customHeight="1">
      <c r="D312" s="13"/>
    </row>
    <row r="313" ht="15.75" customHeight="1">
      <c r="D313" s="13"/>
    </row>
    <row r="314" ht="15.75" customHeight="1">
      <c r="D314" s="13"/>
    </row>
    <row r="315" ht="15.75" customHeight="1">
      <c r="D315" s="13"/>
    </row>
    <row r="316" ht="15.75" customHeight="1">
      <c r="D316" s="13"/>
    </row>
    <row r="317" ht="15.75" customHeight="1">
      <c r="D317" s="13"/>
    </row>
    <row r="318" ht="15.75" customHeight="1">
      <c r="D318" s="13"/>
    </row>
    <row r="319" ht="15.75" customHeight="1">
      <c r="D319" s="13"/>
    </row>
    <row r="320" ht="15.75" customHeight="1">
      <c r="D320" s="13"/>
    </row>
    <row r="321" ht="15.75" customHeight="1">
      <c r="D321" s="13"/>
    </row>
    <row r="322" ht="15.75" customHeight="1">
      <c r="D322" s="13"/>
    </row>
    <row r="323" ht="15.75" customHeight="1">
      <c r="D323" s="13"/>
    </row>
    <row r="324" ht="15.75" customHeight="1">
      <c r="D324" s="13"/>
    </row>
    <row r="325" ht="15.75" customHeight="1">
      <c r="D325" s="13"/>
    </row>
    <row r="326" ht="15.75" customHeight="1">
      <c r="D326" s="13"/>
    </row>
    <row r="327" ht="15.75" customHeight="1">
      <c r="D327" s="13"/>
    </row>
    <row r="328" ht="15.75" customHeight="1">
      <c r="D328" s="13"/>
    </row>
    <row r="329" ht="15.75" customHeight="1">
      <c r="D329" s="13"/>
    </row>
    <row r="330" ht="15.75" customHeight="1">
      <c r="D330" s="13"/>
    </row>
    <row r="331" ht="15.75" customHeight="1">
      <c r="D331" s="13"/>
    </row>
    <row r="332" ht="15.75" customHeight="1">
      <c r="D332" s="13"/>
    </row>
    <row r="333" ht="15.75" customHeight="1">
      <c r="D333" s="13"/>
    </row>
    <row r="334" ht="15.75" customHeight="1">
      <c r="D334" s="13"/>
    </row>
    <row r="335" ht="15.75" customHeight="1">
      <c r="D335" s="13"/>
    </row>
    <row r="336" ht="15.75" customHeight="1">
      <c r="D336" s="13"/>
    </row>
    <row r="337" ht="15.75" customHeight="1">
      <c r="D337" s="13"/>
    </row>
    <row r="338" ht="15.75" customHeight="1">
      <c r="D338" s="13"/>
    </row>
    <row r="339" ht="15.75" customHeight="1">
      <c r="D339" s="13"/>
    </row>
    <row r="340" ht="15.75" customHeight="1">
      <c r="D340" s="13"/>
    </row>
    <row r="341" ht="15.75" customHeight="1">
      <c r="D341" s="13"/>
    </row>
    <row r="342" ht="15.75" customHeight="1">
      <c r="D342" s="13"/>
    </row>
    <row r="343" ht="15.75" customHeight="1">
      <c r="D343" s="13"/>
    </row>
    <row r="344" ht="15.75" customHeight="1">
      <c r="D344" s="13"/>
    </row>
    <row r="345" ht="15.75" customHeight="1">
      <c r="D345" s="13"/>
    </row>
    <row r="346" ht="15.75" customHeight="1">
      <c r="D346" s="13"/>
    </row>
    <row r="347" ht="15.75" customHeight="1">
      <c r="D347" s="13"/>
    </row>
    <row r="348" ht="15.75" customHeight="1">
      <c r="D348" s="13"/>
    </row>
    <row r="349" ht="15.75" customHeight="1">
      <c r="D349" s="13"/>
    </row>
    <row r="350" ht="15.75" customHeight="1">
      <c r="D350" s="13"/>
    </row>
    <row r="351" ht="15.75" customHeight="1">
      <c r="D351" s="13"/>
    </row>
    <row r="352" ht="15.75" customHeight="1">
      <c r="D352" s="13"/>
    </row>
    <row r="353" ht="15.75" customHeight="1">
      <c r="D353" s="13"/>
    </row>
    <row r="354" ht="15.75" customHeight="1">
      <c r="D354" s="13"/>
    </row>
    <row r="355" ht="15.75" customHeight="1">
      <c r="D355" s="13"/>
    </row>
    <row r="356" ht="15.75" customHeight="1">
      <c r="D356" s="13"/>
    </row>
    <row r="357" ht="15.75" customHeight="1">
      <c r="D357" s="13"/>
    </row>
    <row r="358" ht="15.75" customHeight="1">
      <c r="D358" s="13"/>
    </row>
    <row r="359" ht="15.75" customHeight="1">
      <c r="D359" s="13"/>
    </row>
    <row r="360" ht="15.75" customHeight="1">
      <c r="D360" s="13"/>
    </row>
    <row r="361" ht="15.75" customHeight="1">
      <c r="D361" s="13"/>
    </row>
    <row r="362" ht="15.75" customHeight="1">
      <c r="D362" s="13"/>
    </row>
    <row r="363" ht="15.75" customHeight="1">
      <c r="D363" s="13"/>
    </row>
    <row r="364" ht="15.75" customHeight="1">
      <c r="D364" s="13"/>
    </row>
    <row r="365" ht="15.75" customHeight="1">
      <c r="D365" s="13"/>
    </row>
    <row r="366" ht="15.75" customHeight="1">
      <c r="D366" s="13"/>
    </row>
    <row r="367" ht="15.75" customHeight="1">
      <c r="D367" s="13"/>
    </row>
    <row r="368" ht="15.75" customHeight="1">
      <c r="D368" s="13"/>
    </row>
    <row r="369" ht="15.75" customHeight="1">
      <c r="D369" s="13"/>
    </row>
    <row r="370" ht="15.75" customHeight="1">
      <c r="D370" s="13"/>
    </row>
    <row r="371" ht="15.75" customHeight="1">
      <c r="D371" s="13"/>
    </row>
    <row r="372" ht="15.75" customHeight="1">
      <c r="D372" s="13"/>
    </row>
    <row r="373" ht="15.75" customHeight="1">
      <c r="D373" s="13"/>
    </row>
    <row r="374" ht="15.75" customHeight="1">
      <c r="D374" s="13"/>
    </row>
    <row r="375" ht="15.75" customHeight="1">
      <c r="D375" s="13"/>
    </row>
    <row r="376" ht="15.75" customHeight="1">
      <c r="D376" s="13"/>
    </row>
    <row r="377" ht="15.75" customHeight="1">
      <c r="D377" s="13"/>
    </row>
    <row r="378" ht="15.75" customHeight="1">
      <c r="D378" s="13"/>
    </row>
    <row r="379" ht="15.75" customHeight="1">
      <c r="D379" s="13"/>
    </row>
    <row r="380" ht="15.75" customHeight="1">
      <c r="D380" s="13"/>
    </row>
    <row r="381" ht="15.75" customHeight="1">
      <c r="D381" s="13"/>
    </row>
    <row r="382" ht="15.75" customHeight="1">
      <c r="D382" s="13"/>
    </row>
    <row r="383" ht="15.75" customHeight="1">
      <c r="D383" s="13"/>
    </row>
    <row r="384" ht="15.75" customHeight="1">
      <c r="D384" s="13"/>
    </row>
    <row r="385" ht="15.75" customHeight="1">
      <c r="D385" s="13"/>
    </row>
    <row r="386" ht="15.75" customHeight="1">
      <c r="D386" s="13"/>
    </row>
    <row r="387" ht="15.75" customHeight="1">
      <c r="D387" s="13"/>
    </row>
    <row r="388" ht="15.75" customHeight="1">
      <c r="D388" s="13"/>
    </row>
    <row r="389" ht="15.75" customHeight="1">
      <c r="D389" s="13"/>
    </row>
    <row r="390" ht="15.75" customHeight="1">
      <c r="D390" s="13"/>
    </row>
    <row r="391" ht="15.75" customHeight="1">
      <c r="D391" s="13"/>
    </row>
    <row r="392" ht="15.75" customHeight="1">
      <c r="D392" s="13"/>
    </row>
    <row r="393" ht="15.75" customHeight="1">
      <c r="D393" s="13"/>
    </row>
    <row r="394" ht="15.75" customHeight="1">
      <c r="D394" s="13"/>
    </row>
    <row r="395" ht="15.75" customHeight="1">
      <c r="D395" s="13"/>
    </row>
    <row r="396" ht="15.75" customHeight="1">
      <c r="D396" s="13"/>
    </row>
    <row r="397" ht="15.75" customHeight="1">
      <c r="D397" s="13"/>
    </row>
    <row r="398" ht="15.75" customHeight="1">
      <c r="D398" s="13"/>
    </row>
    <row r="399" ht="15.75" customHeight="1">
      <c r="D399" s="13"/>
    </row>
    <row r="400" ht="15.75" customHeight="1">
      <c r="D400" s="13"/>
    </row>
    <row r="401" ht="15.75" customHeight="1">
      <c r="D401" s="13"/>
    </row>
    <row r="402" ht="15.75" customHeight="1">
      <c r="D402" s="13"/>
    </row>
    <row r="403" ht="15.75" customHeight="1">
      <c r="D403" s="13"/>
    </row>
    <row r="404" ht="15.75" customHeight="1">
      <c r="D404" s="13"/>
    </row>
    <row r="405" ht="15.75" customHeight="1">
      <c r="D405" s="13"/>
    </row>
    <row r="406" ht="15.75" customHeight="1">
      <c r="D406" s="13"/>
    </row>
    <row r="407" ht="15.75" customHeight="1">
      <c r="D407" s="13"/>
    </row>
    <row r="408" ht="15.75" customHeight="1">
      <c r="D408" s="13"/>
    </row>
    <row r="409" ht="15.75" customHeight="1">
      <c r="D409" s="13"/>
    </row>
    <row r="410" ht="15.75" customHeight="1">
      <c r="D410" s="13"/>
    </row>
    <row r="411" ht="15.75" customHeight="1">
      <c r="D411" s="13"/>
    </row>
    <row r="412" ht="15.75" customHeight="1">
      <c r="D412" s="13"/>
    </row>
    <row r="413" ht="15.75" customHeight="1">
      <c r="D413" s="13"/>
    </row>
    <row r="414" ht="15.75" customHeight="1">
      <c r="D414" s="13"/>
    </row>
    <row r="415" ht="15.75" customHeight="1">
      <c r="D415" s="13"/>
    </row>
    <row r="416" ht="15.75" customHeight="1">
      <c r="D416" s="13"/>
    </row>
    <row r="417" ht="15.75" customHeight="1">
      <c r="D417" s="13"/>
    </row>
    <row r="418" ht="15.75" customHeight="1">
      <c r="D418" s="13"/>
    </row>
    <row r="419" ht="15.75" customHeight="1">
      <c r="D419" s="13"/>
    </row>
    <row r="420" ht="15.75" customHeight="1">
      <c r="D420" s="13"/>
    </row>
    <row r="421" ht="15.75" customHeight="1">
      <c r="D421" s="13"/>
    </row>
    <row r="422" ht="15.75" customHeight="1">
      <c r="D422" s="13"/>
    </row>
    <row r="423" ht="15.75" customHeight="1">
      <c r="D423" s="13"/>
    </row>
    <row r="424" ht="15.75" customHeight="1">
      <c r="D424" s="13"/>
    </row>
    <row r="425" ht="15.75" customHeight="1">
      <c r="D425" s="13"/>
    </row>
    <row r="426" ht="15.75" customHeight="1">
      <c r="D426" s="13"/>
    </row>
    <row r="427" ht="15.75" customHeight="1">
      <c r="D427" s="13"/>
    </row>
    <row r="428" ht="15.75" customHeight="1">
      <c r="D428" s="13"/>
    </row>
    <row r="429" ht="15.75" customHeight="1">
      <c r="D429" s="13"/>
    </row>
    <row r="430" ht="15.75" customHeight="1">
      <c r="D430" s="13"/>
    </row>
    <row r="431" ht="15.75" customHeight="1">
      <c r="D431" s="13"/>
    </row>
    <row r="432" ht="15.75" customHeight="1">
      <c r="D432" s="13"/>
    </row>
    <row r="433" ht="15.75" customHeight="1">
      <c r="D433" s="13"/>
    </row>
    <row r="434" ht="15.75" customHeight="1">
      <c r="D434" s="13"/>
    </row>
    <row r="435" ht="15.75" customHeight="1">
      <c r="D435" s="13"/>
    </row>
    <row r="436" ht="15.75" customHeight="1">
      <c r="D436" s="13"/>
    </row>
    <row r="437" ht="15.75" customHeight="1">
      <c r="D437" s="13"/>
    </row>
    <row r="438" ht="15.75" customHeight="1">
      <c r="D438" s="13"/>
    </row>
    <row r="439" ht="15.75" customHeight="1">
      <c r="D439" s="13"/>
    </row>
    <row r="440" ht="15.75" customHeight="1">
      <c r="D440" s="13"/>
    </row>
    <row r="441" ht="15.75" customHeight="1">
      <c r="D441" s="13"/>
    </row>
    <row r="442" ht="15.75" customHeight="1">
      <c r="D442" s="13"/>
    </row>
    <row r="443" ht="15.75" customHeight="1">
      <c r="D443" s="13"/>
    </row>
    <row r="444" ht="15.75" customHeight="1">
      <c r="D444" s="13"/>
    </row>
    <row r="445" ht="15.75" customHeight="1">
      <c r="D445" s="13"/>
    </row>
    <row r="446" ht="15.75" customHeight="1">
      <c r="D446" s="13"/>
    </row>
    <row r="447" ht="15.75" customHeight="1">
      <c r="D447" s="13"/>
    </row>
    <row r="448" ht="15.75" customHeight="1">
      <c r="D448" s="13"/>
    </row>
    <row r="449" ht="15.75" customHeight="1">
      <c r="D449" s="13"/>
    </row>
    <row r="450" ht="15.75" customHeight="1">
      <c r="D450" s="13"/>
    </row>
    <row r="451" ht="15.75" customHeight="1">
      <c r="D451" s="13"/>
    </row>
    <row r="452" ht="15.75" customHeight="1">
      <c r="D452" s="13"/>
    </row>
    <row r="453" ht="15.75" customHeight="1">
      <c r="D453" s="13"/>
    </row>
    <row r="454" ht="15.75" customHeight="1">
      <c r="D454" s="13"/>
    </row>
    <row r="455" ht="15.75" customHeight="1">
      <c r="D455" s="13"/>
    </row>
    <row r="456" ht="15.75" customHeight="1">
      <c r="D456" s="13"/>
    </row>
    <row r="457" ht="15.75" customHeight="1">
      <c r="D457" s="13"/>
    </row>
    <row r="458" ht="15.75" customHeight="1">
      <c r="D458" s="13"/>
    </row>
    <row r="459" ht="15.75" customHeight="1">
      <c r="D459" s="13"/>
    </row>
    <row r="460" ht="15.75" customHeight="1">
      <c r="D460" s="13"/>
    </row>
    <row r="461" ht="15.75" customHeight="1">
      <c r="D461" s="13"/>
    </row>
    <row r="462" ht="15.75" customHeight="1">
      <c r="D462" s="13"/>
    </row>
    <row r="463" ht="15.75" customHeight="1">
      <c r="D463" s="13"/>
    </row>
    <row r="464" ht="15.75" customHeight="1">
      <c r="D464" s="13"/>
    </row>
    <row r="465" ht="15.75" customHeight="1">
      <c r="D465" s="13"/>
    </row>
    <row r="466" ht="15.75" customHeight="1">
      <c r="D466" s="13"/>
    </row>
    <row r="467" ht="15.75" customHeight="1">
      <c r="D467" s="13"/>
    </row>
    <row r="468" ht="15.75" customHeight="1">
      <c r="D468" s="13"/>
    </row>
    <row r="469" ht="15.75" customHeight="1">
      <c r="D469" s="13"/>
    </row>
    <row r="470" ht="15.75" customHeight="1">
      <c r="D470" s="13"/>
    </row>
    <row r="471" ht="15.75" customHeight="1">
      <c r="D471" s="13"/>
    </row>
    <row r="472" ht="15.75" customHeight="1">
      <c r="D472" s="13"/>
    </row>
    <row r="473" ht="15.75" customHeight="1">
      <c r="D473" s="13"/>
    </row>
    <row r="474" ht="15.75" customHeight="1">
      <c r="D474" s="13"/>
    </row>
    <row r="475" ht="15.75" customHeight="1">
      <c r="D475" s="13"/>
    </row>
    <row r="476" ht="15.75" customHeight="1">
      <c r="D476" s="13"/>
    </row>
    <row r="477" ht="15.75" customHeight="1">
      <c r="D477" s="13"/>
    </row>
    <row r="478" ht="15.75" customHeight="1">
      <c r="D478" s="13"/>
    </row>
    <row r="479" ht="15.75" customHeight="1">
      <c r="D479" s="13"/>
    </row>
    <row r="480" ht="15.75" customHeight="1">
      <c r="D480" s="13"/>
    </row>
    <row r="481" ht="15.75" customHeight="1">
      <c r="D481" s="13"/>
    </row>
    <row r="482" ht="15.75" customHeight="1">
      <c r="D482" s="13"/>
    </row>
    <row r="483" ht="15.75" customHeight="1">
      <c r="D483" s="13"/>
    </row>
    <row r="484" ht="15.75" customHeight="1">
      <c r="D484" s="13"/>
    </row>
    <row r="485" ht="15.75" customHeight="1">
      <c r="D485" s="13"/>
    </row>
    <row r="486" ht="15.75" customHeight="1">
      <c r="D486" s="13"/>
    </row>
    <row r="487" ht="15.75" customHeight="1">
      <c r="D487" s="13"/>
    </row>
    <row r="488" ht="15.75" customHeight="1">
      <c r="D488" s="13"/>
    </row>
    <row r="489" ht="15.75" customHeight="1">
      <c r="D489" s="13"/>
    </row>
    <row r="490" ht="15.75" customHeight="1">
      <c r="D490" s="13"/>
    </row>
    <row r="491" ht="15.75" customHeight="1">
      <c r="D491" s="13"/>
    </row>
    <row r="492" ht="15.75" customHeight="1">
      <c r="D492" s="13"/>
    </row>
    <row r="493" ht="15.75" customHeight="1">
      <c r="D493" s="13"/>
    </row>
    <row r="494" ht="15.75" customHeight="1">
      <c r="D494" s="13"/>
    </row>
    <row r="495" ht="15.75" customHeight="1">
      <c r="D495" s="13"/>
    </row>
    <row r="496" ht="15.75" customHeight="1">
      <c r="D496" s="13"/>
    </row>
    <row r="497" ht="15.75" customHeight="1">
      <c r="D497" s="13"/>
    </row>
    <row r="498" ht="15.75" customHeight="1">
      <c r="D498" s="13"/>
    </row>
    <row r="499" ht="15.75" customHeight="1">
      <c r="D499" s="13"/>
    </row>
    <row r="500" ht="15.75" customHeight="1">
      <c r="D500" s="13"/>
    </row>
    <row r="501" ht="15.75" customHeight="1">
      <c r="D501" s="13"/>
    </row>
    <row r="502" ht="15.75" customHeight="1">
      <c r="D502" s="13"/>
    </row>
    <row r="503" ht="15.75" customHeight="1">
      <c r="D503" s="13"/>
    </row>
    <row r="504" ht="15.75" customHeight="1">
      <c r="D504" s="13"/>
    </row>
    <row r="505" ht="15.75" customHeight="1">
      <c r="D505" s="13"/>
    </row>
    <row r="506" ht="15.75" customHeight="1">
      <c r="D506" s="13"/>
    </row>
    <row r="507" ht="15.75" customHeight="1">
      <c r="D507" s="13"/>
    </row>
    <row r="508" ht="15.75" customHeight="1">
      <c r="D508" s="13"/>
    </row>
    <row r="509" ht="15.75" customHeight="1">
      <c r="D509" s="13"/>
    </row>
    <row r="510" ht="15.75" customHeight="1">
      <c r="D510" s="13"/>
    </row>
    <row r="511" ht="15.75" customHeight="1">
      <c r="D511" s="13"/>
    </row>
    <row r="512" ht="15.75" customHeight="1">
      <c r="D512" s="13"/>
    </row>
    <row r="513" ht="15.75" customHeight="1">
      <c r="D513" s="13"/>
    </row>
    <row r="514" ht="15.75" customHeight="1">
      <c r="D514" s="13"/>
    </row>
    <row r="515" ht="15.75" customHeight="1">
      <c r="D515" s="13"/>
    </row>
    <row r="516" ht="15.75" customHeight="1">
      <c r="D516" s="13"/>
    </row>
    <row r="517" ht="15.75" customHeight="1">
      <c r="D517" s="13"/>
    </row>
    <row r="518" ht="15.75" customHeight="1">
      <c r="D518" s="13"/>
    </row>
    <row r="519" ht="15.75" customHeight="1">
      <c r="D519" s="13"/>
    </row>
    <row r="520" ht="15.75" customHeight="1">
      <c r="D520" s="13"/>
    </row>
    <row r="521" ht="15.75" customHeight="1">
      <c r="D521" s="13"/>
    </row>
    <row r="522" ht="15.75" customHeight="1">
      <c r="D522" s="13"/>
    </row>
    <row r="523" ht="15.75" customHeight="1">
      <c r="D523" s="13"/>
    </row>
    <row r="524" ht="15.75" customHeight="1">
      <c r="D524" s="13"/>
    </row>
    <row r="525" ht="15.75" customHeight="1">
      <c r="D525" s="13"/>
    </row>
    <row r="526" ht="15.75" customHeight="1">
      <c r="D526" s="13"/>
    </row>
    <row r="527" ht="15.75" customHeight="1">
      <c r="D527" s="13"/>
    </row>
    <row r="528" ht="15.75" customHeight="1">
      <c r="D528" s="13"/>
    </row>
    <row r="529" ht="15.75" customHeight="1">
      <c r="D529" s="13"/>
    </row>
    <row r="530" ht="15.75" customHeight="1">
      <c r="D530" s="13"/>
    </row>
    <row r="531" ht="15.75" customHeight="1">
      <c r="D531" s="13"/>
    </row>
    <row r="532" ht="15.75" customHeight="1">
      <c r="D532" s="13"/>
    </row>
    <row r="533" ht="15.75" customHeight="1">
      <c r="D533" s="13"/>
    </row>
    <row r="534" ht="15.75" customHeight="1">
      <c r="D534" s="13"/>
    </row>
    <row r="535" ht="15.75" customHeight="1">
      <c r="D535" s="13"/>
    </row>
    <row r="536" ht="15.75" customHeight="1">
      <c r="D536" s="13"/>
    </row>
    <row r="537" ht="15.75" customHeight="1">
      <c r="D537" s="13"/>
    </row>
    <row r="538" ht="15.75" customHeight="1">
      <c r="D538" s="13"/>
    </row>
    <row r="539" ht="15.75" customHeight="1">
      <c r="D539" s="13"/>
    </row>
    <row r="540" ht="15.75" customHeight="1">
      <c r="D540" s="13"/>
    </row>
    <row r="541" ht="15.75" customHeight="1">
      <c r="D541" s="13"/>
    </row>
    <row r="542" ht="15.75" customHeight="1">
      <c r="D542" s="13"/>
    </row>
    <row r="543" ht="15.75" customHeight="1">
      <c r="D543" s="13"/>
    </row>
    <row r="544" ht="15.75" customHeight="1">
      <c r="D544" s="13"/>
    </row>
    <row r="545" ht="15.75" customHeight="1">
      <c r="D545" s="13"/>
    </row>
    <row r="546" ht="15.75" customHeight="1">
      <c r="D546" s="13"/>
    </row>
    <row r="547" ht="15.75" customHeight="1">
      <c r="D547" s="13"/>
    </row>
    <row r="548" ht="15.75" customHeight="1">
      <c r="D548" s="13"/>
    </row>
    <row r="549" ht="15.75" customHeight="1">
      <c r="D549" s="13"/>
    </row>
    <row r="550" ht="15.75" customHeight="1">
      <c r="D550" s="13"/>
    </row>
    <row r="551" ht="15.75" customHeight="1">
      <c r="D551" s="13"/>
    </row>
    <row r="552" ht="15.75" customHeight="1">
      <c r="D552" s="13"/>
    </row>
    <row r="553" ht="15.75" customHeight="1">
      <c r="D553" s="13"/>
    </row>
    <row r="554" ht="15.75" customHeight="1">
      <c r="D554" s="13"/>
    </row>
    <row r="555" ht="15.75" customHeight="1">
      <c r="D555" s="13"/>
    </row>
    <row r="556" ht="15.75" customHeight="1">
      <c r="D556" s="13"/>
    </row>
    <row r="557" ht="15.75" customHeight="1">
      <c r="D557" s="13"/>
    </row>
    <row r="558" ht="15.75" customHeight="1">
      <c r="D558" s="13"/>
    </row>
    <row r="559" ht="15.75" customHeight="1">
      <c r="D559" s="13"/>
    </row>
    <row r="560" ht="15.75" customHeight="1">
      <c r="D560" s="13"/>
    </row>
    <row r="561" ht="15.75" customHeight="1">
      <c r="D561" s="13"/>
    </row>
    <row r="562" ht="15.75" customHeight="1">
      <c r="D562" s="13"/>
    </row>
    <row r="563" ht="15.75" customHeight="1">
      <c r="D563" s="13"/>
    </row>
    <row r="564" ht="15.75" customHeight="1">
      <c r="D564" s="13"/>
    </row>
    <row r="565" ht="15.75" customHeight="1">
      <c r="D565" s="13"/>
    </row>
    <row r="566" ht="15.75" customHeight="1">
      <c r="D566" s="13"/>
    </row>
    <row r="567" ht="15.75" customHeight="1">
      <c r="D567" s="13"/>
    </row>
    <row r="568" ht="15.75" customHeight="1">
      <c r="D568" s="13"/>
    </row>
    <row r="569" ht="15.75" customHeight="1">
      <c r="D569" s="13"/>
    </row>
    <row r="570" ht="15.75" customHeight="1">
      <c r="D570" s="13"/>
    </row>
    <row r="571" ht="15.75" customHeight="1">
      <c r="D571" s="13"/>
    </row>
    <row r="572" ht="15.75" customHeight="1">
      <c r="D572" s="13"/>
    </row>
    <row r="573" ht="15.75" customHeight="1">
      <c r="D573" s="13"/>
    </row>
    <row r="574" ht="15.75" customHeight="1">
      <c r="D574" s="13"/>
    </row>
    <row r="575" ht="15.75" customHeight="1">
      <c r="D575" s="13"/>
    </row>
    <row r="576" ht="15.75" customHeight="1">
      <c r="D576" s="13"/>
    </row>
    <row r="577" ht="15.75" customHeight="1">
      <c r="D577" s="13"/>
    </row>
    <row r="578" ht="15.75" customHeight="1">
      <c r="D578" s="13"/>
    </row>
    <row r="579" ht="15.75" customHeight="1">
      <c r="D579" s="13"/>
    </row>
    <row r="580" ht="15.75" customHeight="1">
      <c r="D580" s="13"/>
    </row>
    <row r="581" ht="15.75" customHeight="1">
      <c r="D581" s="13"/>
    </row>
    <row r="582" ht="15.75" customHeight="1">
      <c r="D582" s="13"/>
    </row>
    <row r="583" ht="15.75" customHeight="1">
      <c r="D583" s="13"/>
    </row>
    <row r="584" ht="15.75" customHeight="1">
      <c r="D584" s="13"/>
    </row>
    <row r="585" ht="15.75" customHeight="1">
      <c r="D585" s="13"/>
    </row>
    <row r="586" ht="15.75" customHeight="1">
      <c r="D586" s="13"/>
    </row>
    <row r="587" ht="15.75" customHeight="1">
      <c r="D587" s="13"/>
    </row>
    <row r="588" ht="15.75" customHeight="1">
      <c r="D588" s="13"/>
    </row>
    <row r="589" ht="15.75" customHeight="1">
      <c r="D589" s="13"/>
    </row>
    <row r="590" ht="15.75" customHeight="1">
      <c r="D590" s="13"/>
    </row>
    <row r="591" ht="15.75" customHeight="1">
      <c r="D591" s="13"/>
    </row>
    <row r="592" ht="15.75" customHeight="1">
      <c r="D592" s="13"/>
    </row>
    <row r="593" ht="15.75" customHeight="1">
      <c r="D593" s="13"/>
    </row>
    <row r="594" ht="15.75" customHeight="1">
      <c r="D594" s="13"/>
    </row>
    <row r="595" ht="15.75" customHeight="1">
      <c r="D595" s="13"/>
    </row>
    <row r="596" ht="15.75" customHeight="1">
      <c r="D596" s="13"/>
    </row>
    <row r="597" ht="15.75" customHeight="1">
      <c r="D597" s="13"/>
    </row>
    <row r="598" ht="15.75" customHeight="1">
      <c r="D598" s="13"/>
    </row>
    <row r="599" ht="15.75" customHeight="1">
      <c r="D599" s="13"/>
    </row>
    <row r="600" ht="15.75" customHeight="1">
      <c r="D600" s="13"/>
    </row>
    <row r="601" ht="15.75" customHeight="1">
      <c r="D601" s="13"/>
    </row>
    <row r="602" ht="15.75" customHeight="1">
      <c r="D602" s="13"/>
    </row>
    <row r="603" ht="15.75" customHeight="1">
      <c r="D603" s="13"/>
    </row>
    <row r="604" ht="15.75" customHeight="1">
      <c r="D604" s="13"/>
    </row>
    <row r="605" ht="15.75" customHeight="1">
      <c r="D605" s="13"/>
    </row>
    <row r="606" ht="15.75" customHeight="1">
      <c r="D606" s="13"/>
    </row>
    <row r="607" ht="15.75" customHeight="1">
      <c r="D607" s="13"/>
    </row>
    <row r="608" ht="15.75" customHeight="1">
      <c r="D608" s="13"/>
    </row>
    <row r="609" ht="15.75" customHeight="1">
      <c r="D609" s="13"/>
    </row>
    <row r="610" ht="15.75" customHeight="1">
      <c r="D610" s="13"/>
    </row>
    <row r="611" ht="15.75" customHeight="1">
      <c r="D611" s="13"/>
    </row>
    <row r="612" ht="15.75" customHeight="1">
      <c r="D612" s="13"/>
    </row>
    <row r="613" ht="15.75" customHeight="1">
      <c r="D613" s="13"/>
    </row>
    <row r="614" ht="15.75" customHeight="1">
      <c r="D614" s="13"/>
    </row>
    <row r="615" ht="15.75" customHeight="1">
      <c r="D615" s="13"/>
    </row>
    <row r="616" ht="15.75" customHeight="1">
      <c r="D616" s="13"/>
    </row>
    <row r="617" ht="15.75" customHeight="1">
      <c r="D617" s="13"/>
    </row>
    <row r="618" ht="15.75" customHeight="1">
      <c r="D618" s="13"/>
    </row>
    <row r="619" ht="15.75" customHeight="1">
      <c r="D619" s="13"/>
    </row>
    <row r="620" ht="15.75" customHeight="1">
      <c r="D620" s="13"/>
    </row>
    <row r="621" ht="15.75" customHeight="1">
      <c r="D621" s="13"/>
    </row>
    <row r="622" ht="15.75" customHeight="1">
      <c r="D622" s="13"/>
    </row>
    <row r="623" ht="15.75" customHeight="1">
      <c r="D623" s="13"/>
    </row>
    <row r="624" ht="15.75" customHeight="1">
      <c r="D624" s="13"/>
    </row>
    <row r="625" ht="15.75" customHeight="1">
      <c r="D625" s="13"/>
    </row>
    <row r="626" ht="15.75" customHeight="1">
      <c r="D626" s="13"/>
    </row>
    <row r="627" ht="15.75" customHeight="1">
      <c r="D627" s="13"/>
    </row>
    <row r="628" ht="15.75" customHeight="1">
      <c r="D628" s="13"/>
    </row>
    <row r="629" ht="15.75" customHeight="1">
      <c r="D629" s="13"/>
    </row>
    <row r="630" ht="15.75" customHeight="1">
      <c r="D630" s="13"/>
    </row>
    <row r="631" ht="15.75" customHeight="1">
      <c r="D631" s="13"/>
    </row>
    <row r="632" ht="15.75" customHeight="1">
      <c r="D632" s="13"/>
    </row>
    <row r="633" ht="15.75" customHeight="1">
      <c r="D633" s="13"/>
    </row>
    <row r="634" ht="15.75" customHeight="1">
      <c r="D634" s="13"/>
    </row>
    <row r="635" ht="15.75" customHeight="1">
      <c r="D635" s="13"/>
    </row>
    <row r="636" ht="15.75" customHeight="1">
      <c r="D636" s="13"/>
    </row>
    <row r="637" ht="15.75" customHeight="1">
      <c r="D637" s="13"/>
    </row>
    <row r="638" ht="15.75" customHeight="1">
      <c r="D638" s="13"/>
    </row>
    <row r="639" ht="15.75" customHeight="1">
      <c r="D639" s="13"/>
    </row>
    <row r="640" ht="15.75" customHeight="1">
      <c r="D640" s="13"/>
    </row>
    <row r="641" ht="15.75" customHeight="1">
      <c r="D641" s="13"/>
    </row>
    <row r="642" ht="15.75" customHeight="1">
      <c r="D642" s="13"/>
    </row>
    <row r="643" ht="15.75" customHeight="1">
      <c r="D643" s="13"/>
    </row>
    <row r="644" ht="15.75" customHeight="1">
      <c r="D644" s="13"/>
    </row>
    <row r="645" ht="15.75" customHeight="1">
      <c r="D645" s="13"/>
    </row>
    <row r="646" ht="15.75" customHeight="1">
      <c r="D646" s="13"/>
    </row>
    <row r="647" ht="15.75" customHeight="1">
      <c r="D647" s="13"/>
    </row>
    <row r="648" ht="15.75" customHeight="1">
      <c r="D648" s="13"/>
    </row>
    <row r="649" ht="15.75" customHeight="1">
      <c r="D649" s="13"/>
    </row>
    <row r="650" ht="15.75" customHeight="1">
      <c r="D650" s="13"/>
    </row>
    <row r="651" ht="15.75" customHeight="1">
      <c r="D651" s="13"/>
    </row>
    <row r="652" ht="15.75" customHeight="1">
      <c r="D652" s="13"/>
    </row>
    <row r="653" ht="15.75" customHeight="1">
      <c r="D653" s="13"/>
    </row>
    <row r="654" ht="15.75" customHeight="1">
      <c r="D654" s="13"/>
    </row>
    <row r="655" ht="15.75" customHeight="1">
      <c r="D655" s="13"/>
    </row>
    <row r="656" ht="15.75" customHeight="1">
      <c r="D656" s="13"/>
    </row>
    <row r="657" ht="15.75" customHeight="1">
      <c r="D657" s="13"/>
    </row>
    <row r="658" ht="15.75" customHeight="1">
      <c r="D658" s="13"/>
    </row>
    <row r="659" ht="15.75" customHeight="1">
      <c r="D659" s="13"/>
    </row>
    <row r="660" ht="15.75" customHeight="1">
      <c r="D660" s="13"/>
    </row>
    <row r="661" ht="15.75" customHeight="1">
      <c r="D661" s="13"/>
    </row>
    <row r="662" ht="15.75" customHeight="1">
      <c r="D662" s="13"/>
    </row>
    <row r="663" ht="15.75" customHeight="1">
      <c r="D663" s="13"/>
    </row>
    <row r="664" ht="15.75" customHeight="1">
      <c r="D664" s="13"/>
    </row>
    <row r="665" ht="15.75" customHeight="1">
      <c r="D665" s="13"/>
    </row>
    <row r="666" ht="15.75" customHeight="1">
      <c r="D666" s="13"/>
    </row>
    <row r="667" ht="15.75" customHeight="1">
      <c r="D667" s="13"/>
    </row>
    <row r="668" ht="15.75" customHeight="1">
      <c r="D668" s="13"/>
    </row>
    <row r="669" ht="15.75" customHeight="1">
      <c r="D669" s="13"/>
    </row>
    <row r="670" ht="15.75" customHeight="1">
      <c r="D670" s="13"/>
    </row>
    <row r="671" ht="15.75" customHeight="1">
      <c r="D671" s="13"/>
    </row>
    <row r="672" ht="15.75" customHeight="1">
      <c r="D672" s="13"/>
    </row>
    <row r="673" ht="15.75" customHeight="1">
      <c r="D673" s="13"/>
    </row>
    <row r="674" ht="15.75" customHeight="1">
      <c r="D674" s="13"/>
    </row>
    <row r="675" ht="15.75" customHeight="1">
      <c r="D675" s="13"/>
    </row>
    <row r="676" ht="15.75" customHeight="1">
      <c r="D676" s="13"/>
    </row>
    <row r="677" ht="15.75" customHeight="1">
      <c r="D677" s="13"/>
    </row>
    <row r="678" ht="15.75" customHeight="1">
      <c r="D678" s="13"/>
    </row>
    <row r="679" ht="15.75" customHeight="1">
      <c r="D679" s="13"/>
    </row>
    <row r="680" ht="15.75" customHeight="1">
      <c r="D680" s="13"/>
    </row>
    <row r="681" ht="15.75" customHeight="1">
      <c r="D681" s="13"/>
    </row>
    <row r="682" ht="15.75" customHeight="1">
      <c r="D682" s="13"/>
    </row>
    <row r="683" ht="15.75" customHeight="1">
      <c r="D683" s="13"/>
    </row>
    <row r="684" ht="15.75" customHeight="1">
      <c r="D684" s="13"/>
    </row>
    <row r="685" ht="15.75" customHeight="1">
      <c r="D685" s="13"/>
    </row>
    <row r="686" ht="15.75" customHeight="1">
      <c r="D686" s="13"/>
    </row>
    <row r="687" ht="15.75" customHeight="1">
      <c r="D687" s="13"/>
    </row>
    <row r="688" ht="15.75" customHeight="1">
      <c r="D688" s="13"/>
    </row>
    <row r="689" ht="15.75" customHeight="1">
      <c r="D689" s="13"/>
    </row>
    <row r="690" ht="15.75" customHeight="1">
      <c r="D690" s="13"/>
    </row>
    <row r="691" ht="15.75" customHeight="1">
      <c r="D691" s="13"/>
    </row>
    <row r="692" ht="15.75" customHeight="1">
      <c r="D692" s="13"/>
    </row>
    <row r="693" ht="15.75" customHeight="1">
      <c r="D693" s="13"/>
    </row>
    <row r="694" ht="15.75" customHeight="1">
      <c r="D694" s="13"/>
    </row>
    <row r="695" ht="15.75" customHeight="1">
      <c r="D695" s="13"/>
    </row>
    <row r="696" ht="15.75" customHeight="1">
      <c r="D696" s="13"/>
    </row>
    <row r="697" ht="15.75" customHeight="1">
      <c r="D697" s="13"/>
    </row>
    <row r="698" ht="15.75" customHeight="1">
      <c r="D698" s="13"/>
    </row>
    <row r="699" ht="15.75" customHeight="1">
      <c r="D699" s="13"/>
    </row>
    <row r="700" ht="15.75" customHeight="1">
      <c r="D700" s="13"/>
    </row>
    <row r="701" ht="15.75" customHeight="1">
      <c r="D701" s="13"/>
    </row>
    <row r="702" ht="15.75" customHeight="1">
      <c r="D702" s="13"/>
    </row>
    <row r="703" ht="15.75" customHeight="1">
      <c r="D703" s="13"/>
    </row>
    <row r="704" ht="15.75" customHeight="1">
      <c r="D704" s="13"/>
    </row>
    <row r="705" ht="15.75" customHeight="1">
      <c r="D705" s="13"/>
    </row>
    <row r="706" ht="15.75" customHeight="1">
      <c r="D706" s="13"/>
    </row>
    <row r="707" ht="15.75" customHeight="1">
      <c r="D707" s="13"/>
    </row>
    <row r="708" ht="15.75" customHeight="1">
      <c r="D708" s="13"/>
    </row>
    <row r="709" ht="15.75" customHeight="1">
      <c r="D709" s="13"/>
    </row>
    <row r="710" ht="15.75" customHeight="1">
      <c r="D710" s="13"/>
    </row>
    <row r="711" ht="15.75" customHeight="1">
      <c r="D711" s="13"/>
    </row>
    <row r="712" ht="15.75" customHeight="1">
      <c r="D712" s="13"/>
    </row>
    <row r="713" ht="15.75" customHeight="1">
      <c r="D713" s="13"/>
    </row>
    <row r="714" ht="15.75" customHeight="1">
      <c r="D714" s="13"/>
    </row>
    <row r="715" ht="15.75" customHeight="1">
      <c r="D715" s="13"/>
    </row>
    <row r="716" ht="15.75" customHeight="1">
      <c r="D716" s="13"/>
    </row>
    <row r="717" ht="15.75" customHeight="1">
      <c r="D717" s="13"/>
    </row>
    <row r="718" ht="15.75" customHeight="1">
      <c r="D718" s="13"/>
    </row>
    <row r="719" ht="15.75" customHeight="1">
      <c r="D719" s="13"/>
    </row>
    <row r="720" ht="15.75" customHeight="1">
      <c r="D720" s="13"/>
    </row>
    <row r="721" ht="15.75" customHeight="1">
      <c r="D721" s="13"/>
    </row>
    <row r="722" ht="15.75" customHeight="1">
      <c r="D722" s="13"/>
    </row>
    <row r="723" ht="15.75" customHeight="1">
      <c r="D723" s="13"/>
    </row>
    <row r="724" ht="15.75" customHeight="1">
      <c r="D724" s="13"/>
    </row>
    <row r="725" ht="15.75" customHeight="1">
      <c r="D725" s="13"/>
    </row>
    <row r="726" ht="15.75" customHeight="1">
      <c r="D726" s="13"/>
    </row>
    <row r="727" ht="15.75" customHeight="1">
      <c r="D727" s="13"/>
    </row>
    <row r="728" ht="15.75" customHeight="1">
      <c r="D728" s="13"/>
    </row>
    <row r="729" ht="15.75" customHeight="1">
      <c r="D729" s="13"/>
    </row>
    <row r="730" ht="15.75" customHeight="1">
      <c r="D730" s="13"/>
    </row>
    <row r="731" ht="15.75" customHeight="1">
      <c r="D731" s="13"/>
    </row>
    <row r="732" ht="15.75" customHeight="1">
      <c r="D732" s="13"/>
    </row>
    <row r="733" ht="15.75" customHeight="1">
      <c r="D733" s="13"/>
    </row>
    <row r="734" ht="15.75" customHeight="1">
      <c r="D734" s="13"/>
    </row>
    <row r="735" ht="15.75" customHeight="1">
      <c r="D735" s="13"/>
    </row>
    <row r="736" ht="15.75" customHeight="1">
      <c r="D736" s="13"/>
    </row>
    <row r="737" ht="15.75" customHeight="1">
      <c r="D737" s="13"/>
    </row>
    <row r="738" ht="15.75" customHeight="1">
      <c r="D738" s="13"/>
    </row>
    <row r="739" ht="15.75" customHeight="1">
      <c r="D739" s="13"/>
    </row>
    <row r="740" ht="15.75" customHeight="1">
      <c r="D740" s="13"/>
    </row>
    <row r="741" ht="15.75" customHeight="1">
      <c r="D741" s="13"/>
    </row>
    <row r="742" ht="15.75" customHeight="1">
      <c r="D742" s="13"/>
    </row>
    <row r="743" ht="15.75" customHeight="1">
      <c r="D743" s="13"/>
    </row>
    <row r="744" ht="15.75" customHeight="1">
      <c r="D744" s="13"/>
    </row>
    <row r="745" ht="15.75" customHeight="1">
      <c r="D745" s="13"/>
    </row>
    <row r="746" ht="15.75" customHeight="1">
      <c r="D746" s="13"/>
    </row>
    <row r="747" ht="15.75" customHeight="1">
      <c r="D747" s="13"/>
    </row>
    <row r="748" ht="15.75" customHeight="1">
      <c r="D748" s="13"/>
    </row>
    <row r="749" ht="15.75" customHeight="1">
      <c r="D749" s="13"/>
    </row>
    <row r="750" ht="15.75" customHeight="1">
      <c r="D750" s="13"/>
    </row>
    <row r="751" ht="15.75" customHeight="1">
      <c r="D751" s="13"/>
    </row>
    <row r="752" ht="15.75" customHeight="1">
      <c r="D752" s="13"/>
    </row>
    <row r="753" ht="15.75" customHeight="1">
      <c r="D753" s="13"/>
    </row>
    <row r="754" ht="15.75" customHeight="1">
      <c r="D754" s="13"/>
    </row>
    <row r="755" ht="15.75" customHeight="1">
      <c r="D755" s="13"/>
    </row>
    <row r="756" ht="15.75" customHeight="1">
      <c r="D756" s="13"/>
    </row>
    <row r="757" ht="15.75" customHeight="1">
      <c r="D757" s="13"/>
    </row>
    <row r="758" ht="15.75" customHeight="1">
      <c r="D758" s="13"/>
    </row>
    <row r="759" ht="15.75" customHeight="1">
      <c r="D759" s="13"/>
    </row>
    <row r="760" ht="15.75" customHeight="1">
      <c r="D760" s="13"/>
    </row>
    <row r="761" ht="15.75" customHeight="1">
      <c r="D761" s="13"/>
    </row>
    <row r="762" ht="15.75" customHeight="1">
      <c r="D762" s="13"/>
    </row>
    <row r="763" ht="15.75" customHeight="1">
      <c r="D763" s="13"/>
    </row>
    <row r="764" ht="15.75" customHeight="1">
      <c r="D764" s="13"/>
    </row>
    <row r="765" ht="15.75" customHeight="1">
      <c r="D765" s="13"/>
    </row>
    <row r="766" ht="15.75" customHeight="1">
      <c r="D766" s="13"/>
    </row>
    <row r="767" ht="15.75" customHeight="1">
      <c r="D767" s="13"/>
    </row>
    <row r="768" ht="15.75" customHeight="1">
      <c r="D768" s="13"/>
    </row>
    <row r="769" ht="15.75" customHeight="1">
      <c r="D769" s="13"/>
    </row>
    <row r="770" ht="15.75" customHeight="1">
      <c r="D770" s="13"/>
    </row>
    <row r="771" ht="15.75" customHeight="1">
      <c r="D771" s="13"/>
    </row>
    <row r="772" ht="15.75" customHeight="1">
      <c r="D772" s="13"/>
    </row>
    <row r="773" ht="15.75" customHeight="1">
      <c r="D773" s="13"/>
    </row>
    <row r="774" ht="15.75" customHeight="1">
      <c r="D774" s="13"/>
    </row>
    <row r="775" ht="15.75" customHeight="1">
      <c r="D775" s="13"/>
    </row>
    <row r="776" ht="15.75" customHeight="1">
      <c r="D776" s="13"/>
    </row>
    <row r="777" ht="15.75" customHeight="1">
      <c r="D777" s="13"/>
    </row>
    <row r="778" ht="15.75" customHeight="1">
      <c r="D778" s="13"/>
    </row>
    <row r="779" ht="15.75" customHeight="1">
      <c r="D779" s="13"/>
    </row>
    <row r="780" ht="15.75" customHeight="1">
      <c r="D780" s="13"/>
    </row>
    <row r="781" ht="15.75" customHeight="1">
      <c r="D781" s="13"/>
    </row>
    <row r="782" ht="15.75" customHeight="1">
      <c r="D782" s="13"/>
    </row>
    <row r="783" ht="15.75" customHeight="1">
      <c r="D783" s="13"/>
    </row>
    <row r="784" ht="15.75" customHeight="1">
      <c r="D784" s="13"/>
    </row>
    <row r="785" ht="15.75" customHeight="1">
      <c r="D785" s="13"/>
    </row>
    <row r="786" ht="15.75" customHeight="1">
      <c r="D786" s="13"/>
    </row>
    <row r="787" ht="15.75" customHeight="1">
      <c r="D787" s="13"/>
    </row>
    <row r="788" ht="15.75" customHeight="1">
      <c r="D788" s="13"/>
    </row>
    <row r="789" ht="15.75" customHeight="1">
      <c r="D789" s="13"/>
    </row>
    <row r="790" ht="15.75" customHeight="1">
      <c r="D790" s="13"/>
    </row>
    <row r="791" ht="15.75" customHeight="1">
      <c r="D791" s="13"/>
    </row>
    <row r="792" ht="15.75" customHeight="1">
      <c r="D792" s="13"/>
    </row>
    <row r="793" ht="15.75" customHeight="1">
      <c r="D793" s="13"/>
    </row>
    <row r="794" ht="15.75" customHeight="1">
      <c r="D794" s="13"/>
    </row>
    <row r="795" ht="15.75" customHeight="1">
      <c r="D795" s="13"/>
    </row>
    <row r="796" ht="15.75" customHeight="1">
      <c r="D796" s="13"/>
    </row>
    <row r="797" ht="15.75" customHeight="1">
      <c r="D797" s="13"/>
    </row>
    <row r="798" ht="15.75" customHeight="1">
      <c r="D798" s="13"/>
    </row>
    <row r="799" ht="15.75" customHeight="1">
      <c r="D799" s="13"/>
    </row>
    <row r="800" ht="15.75" customHeight="1">
      <c r="D800" s="13"/>
    </row>
    <row r="801" ht="15.75" customHeight="1">
      <c r="D801" s="13"/>
    </row>
    <row r="802" ht="15.75" customHeight="1">
      <c r="D802" s="13"/>
    </row>
    <row r="803" ht="15.75" customHeight="1">
      <c r="D803" s="13"/>
    </row>
    <row r="804" ht="15.75" customHeight="1">
      <c r="D804" s="13"/>
    </row>
    <row r="805" ht="15.75" customHeight="1">
      <c r="D805" s="13"/>
    </row>
    <row r="806" ht="15.75" customHeight="1">
      <c r="D806" s="13"/>
    </row>
    <row r="807" ht="15.75" customHeight="1">
      <c r="D807" s="13"/>
    </row>
    <row r="808" ht="15.75" customHeight="1">
      <c r="D808" s="13"/>
    </row>
    <row r="809" ht="15.75" customHeight="1">
      <c r="D809" s="13"/>
    </row>
    <row r="810" ht="15.75" customHeight="1">
      <c r="D810" s="13"/>
    </row>
    <row r="811" ht="15.75" customHeight="1">
      <c r="D811" s="13"/>
    </row>
    <row r="812" ht="15.75" customHeight="1">
      <c r="D812" s="13"/>
    </row>
    <row r="813" ht="15.75" customHeight="1">
      <c r="D813" s="13"/>
    </row>
    <row r="814" ht="15.75" customHeight="1">
      <c r="D814" s="13"/>
    </row>
    <row r="815" ht="15.75" customHeight="1">
      <c r="D815" s="13"/>
    </row>
    <row r="816" ht="15.75" customHeight="1">
      <c r="D816" s="13"/>
    </row>
    <row r="817" ht="15.75" customHeight="1">
      <c r="D817" s="13"/>
    </row>
    <row r="818" ht="15.75" customHeight="1">
      <c r="D818" s="13"/>
    </row>
    <row r="819" ht="15.75" customHeight="1">
      <c r="D819" s="13"/>
    </row>
    <row r="820" ht="15.75" customHeight="1">
      <c r="D820" s="13"/>
    </row>
    <row r="821" ht="15.75" customHeight="1">
      <c r="D821" s="13"/>
    </row>
    <row r="822" ht="15.75" customHeight="1">
      <c r="D822" s="13"/>
    </row>
    <row r="823" ht="15.75" customHeight="1">
      <c r="D823" s="13"/>
    </row>
    <row r="824" ht="15.75" customHeight="1">
      <c r="D824" s="13"/>
    </row>
    <row r="825" ht="15.75" customHeight="1">
      <c r="D825" s="13"/>
    </row>
    <row r="826" ht="15.75" customHeight="1">
      <c r="D826" s="13"/>
    </row>
    <row r="827" ht="15.75" customHeight="1">
      <c r="D827" s="13"/>
    </row>
    <row r="828" ht="15.75" customHeight="1">
      <c r="D828" s="13"/>
    </row>
    <row r="829" ht="15.75" customHeight="1">
      <c r="D829" s="13"/>
    </row>
    <row r="830" ht="15.75" customHeight="1">
      <c r="D830" s="13"/>
    </row>
    <row r="831" ht="15.75" customHeight="1">
      <c r="D831" s="13"/>
    </row>
    <row r="832" ht="15.75" customHeight="1">
      <c r="D832" s="13"/>
    </row>
    <row r="833" ht="15.75" customHeight="1">
      <c r="D833" s="13"/>
    </row>
    <row r="834" ht="15.75" customHeight="1">
      <c r="D834" s="13"/>
    </row>
    <row r="835" ht="15.75" customHeight="1">
      <c r="D835" s="13"/>
    </row>
    <row r="836" ht="15.75" customHeight="1">
      <c r="D836" s="13"/>
    </row>
    <row r="837" ht="15.75" customHeight="1">
      <c r="D837" s="13"/>
    </row>
    <row r="838" ht="15.75" customHeight="1">
      <c r="D838" s="13"/>
    </row>
    <row r="839" ht="15.75" customHeight="1">
      <c r="D839" s="13"/>
    </row>
    <row r="840" ht="15.75" customHeight="1">
      <c r="D840" s="13"/>
    </row>
    <row r="841" ht="15.75" customHeight="1">
      <c r="D841" s="13"/>
    </row>
    <row r="842" ht="15.75" customHeight="1">
      <c r="D842" s="13"/>
    </row>
    <row r="843" ht="15.75" customHeight="1">
      <c r="D843" s="13"/>
    </row>
    <row r="844" ht="15.75" customHeight="1">
      <c r="D844" s="13"/>
    </row>
    <row r="845" ht="15.75" customHeight="1">
      <c r="D845" s="13"/>
    </row>
    <row r="846" ht="15.75" customHeight="1">
      <c r="D846" s="13"/>
    </row>
    <row r="847" ht="15.75" customHeight="1">
      <c r="D847" s="13"/>
    </row>
    <row r="848" ht="15.75" customHeight="1">
      <c r="D848" s="13"/>
    </row>
    <row r="849" ht="15.75" customHeight="1">
      <c r="D849" s="13"/>
    </row>
    <row r="850" ht="15.75" customHeight="1">
      <c r="D850" s="13"/>
    </row>
    <row r="851" ht="15.75" customHeight="1">
      <c r="D851" s="13"/>
    </row>
    <row r="852" ht="15.75" customHeight="1">
      <c r="D852" s="13"/>
    </row>
    <row r="853" ht="15.75" customHeight="1">
      <c r="D853" s="13"/>
    </row>
    <row r="854" ht="15.75" customHeight="1">
      <c r="D854" s="13"/>
    </row>
    <row r="855" ht="15.75" customHeight="1">
      <c r="D855" s="13"/>
    </row>
    <row r="856" ht="15.75" customHeight="1">
      <c r="D856" s="13"/>
    </row>
    <row r="857" ht="15.75" customHeight="1">
      <c r="D857" s="13"/>
    </row>
    <row r="858" ht="15.75" customHeight="1">
      <c r="D858" s="13"/>
    </row>
    <row r="859" ht="15.75" customHeight="1">
      <c r="D859" s="13"/>
    </row>
    <row r="860" ht="15.75" customHeight="1">
      <c r="D860" s="13"/>
    </row>
    <row r="861" ht="15.75" customHeight="1">
      <c r="D861" s="13"/>
    </row>
    <row r="862" ht="15.75" customHeight="1">
      <c r="D862" s="13"/>
    </row>
    <row r="863" ht="15.75" customHeight="1">
      <c r="D863" s="13"/>
    </row>
    <row r="864" ht="15.75" customHeight="1">
      <c r="D864" s="13"/>
    </row>
    <row r="865" ht="15.75" customHeight="1">
      <c r="D865" s="13"/>
    </row>
    <row r="866" ht="15.75" customHeight="1">
      <c r="D866" s="13"/>
    </row>
    <row r="867" ht="15.75" customHeight="1">
      <c r="D867" s="13"/>
    </row>
    <row r="868" ht="15.75" customHeight="1">
      <c r="D868" s="13"/>
    </row>
    <row r="869" ht="15.75" customHeight="1">
      <c r="D869" s="13"/>
    </row>
    <row r="870" ht="15.75" customHeight="1">
      <c r="D870" s="13"/>
    </row>
    <row r="871" ht="15.75" customHeight="1">
      <c r="D871" s="13"/>
    </row>
    <row r="872" ht="15.75" customHeight="1">
      <c r="D872" s="13"/>
    </row>
    <row r="873" ht="15.75" customHeight="1">
      <c r="D873" s="13"/>
    </row>
    <row r="874" ht="15.75" customHeight="1">
      <c r="D874" s="13"/>
    </row>
    <row r="875" ht="15.75" customHeight="1">
      <c r="D875" s="13"/>
    </row>
    <row r="876" ht="15.75" customHeight="1">
      <c r="D876" s="13"/>
    </row>
    <row r="877" ht="15.75" customHeight="1">
      <c r="D877" s="13"/>
    </row>
    <row r="878" ht="15.75" customHeight="1">
      <c r="D878" s="13"/>
    </row>
    <row r="879" ht="15.75" customHeight="1">
      <c r="D879" s="13"/>
    </row>
    <row r="880" ht="15.75" customHeight="1">
      <c r="D880" s="13"/>
    </row>
    <row r="881" ht="15.75" customHeight="1">
      <c r="D881" s="13"/>
    </row>
    <row r="882" ht="15.75" customHeight="1">
      <c r="D882" s="13"/>
    </row>
    <row r="883" ht="15.75" customHeight="1">
      <c r="D883" s="13"/>
    </row>
    <row r="884" ht="15.75" customHeight="1">
      <c r="D884" s="13"/>
    </row>
    <row r="885" ht="15.75" customHeight="1">
      <c r="D885" s="13"/>
    </row>
    <row r="886" ht="15.75" customHeight="1">
      <c r="D886" s="13"/>
    </row>
    <row r="887" ht="15.75" customHeight="1">
      <c r="D887" s="13"/>
    </row>
    <row r="888" ht="15.75" customHeight="1">
      <c r="D888" s="13"/>
    </row>
    <row r="889" ht="15.75" customHeight="1">
      <c r="D889" s="13"/>
    </row>
    <row r="890" ht="15.75" customHeight="1">
      <c r="D890" s="13"/>
    </row>
    <row r="891" ht="15.75" customHeight="1">
      <c r="D891" s="13"/>
    </row>
    <row r="892" ht="15.75" customHeight="1">
      <c r="D892" s="13"/>
    </row>
    <row r="893" ht="15.75" customHeight="1">
      <c r="D893" s="13"/>
    </row>
    <row r="894" ht="15.75" customHeight="1">
      <c r="D894" s="13"/>
    </row>
    <row r="895" ht="15.75" customHeight="1">
      <c r="D895" s="13"/>
    </row>
    <row r="896" ht="15.75" customHeight="1">
      <c r="D896" s="13"/>
    </row>
    <row r="897" ht="15.75" customHeight="1">
      <c r="D897" s="13"/>
    </row>
    <row r="898" ht="15.75" customHeight="1">
      <c r="D898" s="13"/>
    </row>
    <row r="899" ht="15.75" customHeight="1">
      <c r="D899" s="13"/>
    </row>
    <row r="900" ht="15.75" customHeight="1">
      <c r="D900" s="13"/>
    </row>
    <row r="901" ht="15.75" customHeight="1">
      <c r="D901" s="13"/>
    </row>
    <row r="902" ht="15.75" customHeight="1">
      <c r="D902" s="13"/>
    </row>
    <row r="903" ht="15.75" customHeight="1">
      <c r="D903" s="13"/>
    </row>
    <row r="904" ht="15.75" customHeight="1">
      <c r="D904" s="13"/>
    </row>
    <row r="905" ht="15.75" customHeight="1">
      <c r="D905" s="13"/>
    </row>
    <row r="906" ht="15.75" customHeight="1">
      <c r="D906" s="13"/>
    </row>
    <row r="907" ht="15.75" customHeight="1">
      <c r="D907" s="13"/>
    </row>
    <row r="908" ht="15.75" customHeight="1">
      <c r="D908" s="13"/>
    </row>
    <row r="909" ht="15.75" customHeight="1">
      <c r="D909" s="13"/>
    </row>
    <row r="910" ht="15.75" customHeight="1">
      <c r="D910" s="13"/>
    </row>
    <row r="911" ht="15.75" customHeight="1">
      <c r="D911" s="13"/>
    </row>
    <row r="912" ht="15.75" customHeight="1">
      <c r="D912" s="13"/>
    </row>
    <row r="913" ht="15.75" customHeight="1">
      <c r="D913" s="13"/>
    </row>
    <row r="914" ht="15.75" customHeight="1">
      <c r="D914" s="13"/>
    </row>
    <row r="915" ht="15.75" customHeight="1">
      <c r="D915" s="13"/>
    </row>
    <row r="916" ht="15.75" customHeight="1">
      <c r="D916" s="13"/>
    </row>
    <row r="917" ht="15.75" customHeight="1">
      <c r="D917" s="13"/>
    </row>
    <row r="918" ht="15.75" customHeight="1">
      <c r="D918" s="13"/>
    </row>
    <row r="919" ht="15.75" customHeight="1">
      <c r="D919" s="13"/>
    </row>
    <row r="920" ht="15.75" customHeight="1">
      <c r="D920" s="13"/>
    </row>
    <row r="921" ht="15.75" customHeight="1">
      <c r="D921" s="13"/>
    </row>
    <row r="922" ht="15.75" customHeight="1">
      <c r="D922" s="13"/>
    </row>
    <row r="923" ht="15.75" customHeight="1">
      <c r="D923" s="13"/>
    </row>
    <row r="924" ht="15.75" customHeight="1">
      <c r="D924" s="13"/>
    </row>
    <row r="925" ht="15.75" customHeight="1">
      <c r="D925" s="13"/>
    </row>
    <row r="926" ht="15.75" customHeight="1">
      <c r="D926" s="13"/>
    </row>
    <row r="927" ht="15.75" customHeight="1">
      <c r="D927" s="13"/>
    </row>
    <row r="928" ht="15.75" customHeight="1">
      <c r="D928" s="13"/>
    </row>
    <row r="929" ht="15.75" customHeight="1">
      <c r="D929" s="13"/>
    </row>
    <row r="930" ht="15.75" customHeight="1">
      <c r="D930" s="13"/>
    </row>
    <row r="931" ht="15.75" customHeight="1">
      <c r="D931" s="13"/>
    </row>
    <row r="932" ht="15.75" customHeight="1">
      <c r="D932" s="13"/>
    </row>
    <row r="933" ht="15.75" customHeight="1">
      <c r="D933" s="13"/>
    </row>
    <row r="934" ht="15.75" customHeight="1">
      <c r="D934" s="13"/>
    </row>
    <row r="935" ht="15.75" customHeight="1">
      <c r="D935" s="13"/>
    </row>
    <row r="936" ht="15.75" customHeight="1">
      <c r="D936" s="13"/>
    </row>
    <row r="937" ht="15.75" customHeight="1">
      <c r="D937" s="13"/>
    </row>
    <row r="938" ht="15.75" customHeight="1">
      <c r="D938" s="13"/>
    </row>
    <row r="939" ht="15.75" customHeight="1">
      <c r="D939" s="13"/>
    </row>
    <row r="940" ht="15.75" customHeight="1">
      <c r="D940" s="13"/>
    </row>
    <row r="941" ht="15.75" customHeight="1">
      <c r="D941" s="13"/>
    </row>
    <row r="942" ht="15.75" customHeight="1">
      <c r="D942" s="13"/>
    </row>
    <row r="943" ht="15.75" customHeight="1">
      <c r="D943" s="13"/>
    </row>
    <row r="944" ht="15.75" customHeight="1">
      <c r="D944" s="13"/>
    </row>
    <row r="945" ht="15.75" customHeight="1">
      <c r="D945" s="13"/>
    </row>
    <row r="946" ht="15.75" customHeight="1">
      <c r="D946" s="13"/>
    </row>
    <row r="947" ht="15.75" customHeight="1">
      <c r="D947" s="13"/>
    </row>
    <row r="948" ht="15.75" customHeight="1">
      <c r="D948" s="13"/>
    </row>
    <row r="949" ht="15.75" customHeight="1">
      <c r="D949" s="13"/>
    </row>
    <row r="950" ht="15.75" customHeight="1">
      <c r="D950" s="13"/>
    </row>
    <row r="951" ht="15.75" customHeight="1">
      <c r="D951" s="13"/>
    </row>
    <row r="952" ht="15.75" customHeight="1">
      <c r="D952" s="13"/>
    </row>
    <row r="953" ht="15.75" customHeight="1">
      <c r="D953" s="13"/>
    </row>
    <row r="954" ht="15.75" customHeight="1">
      <c r="D954" s="13"/>
    </row>
    <row r="955" ht="15.75" customHeight="1">
      <c r="D955" s="13"/>
    </row>
    <row r="956" ht="15.75" customHeight="1">
      <c r="D956" s="13"/>
    </row>
    <row r="957" ht="15.75" customHeight="1">
      <c r="D957" s="13"/>
    </row>
    <row r="958" ht="15.75" customHeight="1">
      <c r="D958" s="13"/>
    </row>
    <row r="959" ht="15.75" customHeight="1">
      <c r="D959" s="13"/>
    </row>
    <row r="960" ht="15.75" customHeight="1">
      <c r="D960" s="13"/>
    </row>
    <row r="961" ht="15.75" customHeight="1">
      <c r="D961" s="13"/>
    </row>
    <row r="962" ht="15.75" customHeight="1">
      <c r="D962" s="13"/>
    </row>
    <row r="963" ht="15.75" customHeight="1">
      <c r="D963" s="13"/>
    </row>
    <row r="964" ht="15.75" customHeight="1">
      <c r="D964" s="13"/>
    </row>
    <row r="965" ht="15.75" customHeight="1">
      <c r="D965" s="13"/>
    </row>
    <row r="966" ht="15.75" customHeight="1">
      <c r="D966" s="13"/>
    </row>
    <row r="967" ht="15.75" customHeight="1">
      <c r="D967" s="13"/>
    </row>
    <row r="968" ht="15.75" customHeight="1">
      <c r="D968" s="13"/>
    </row>
    <row r="969" ht="15.75" customHeight="1">
      <c r="D969" s="13"/>
    </row>
    <row r="970" ht="15.75" customHeight="1">
      <c r="D970" s="13"/>
    </row>
    <row r="971" ht="15.75" customHeight="1">
      <c r="D971" s="13"/>
    </row>
    <row r="972" ht="15.75" customHeight="1">
      <c r="D972" s="13"/>
    </row>
    <row r="973" ht="15.75" customHeight="1">
      <c r="D973" s="13"/>
    </row>
    <row r="974" ht="15.75" customHeight="1">
      <c r="D974" s="13"/>
    </row>
    <row r="975" ht="15.75" customHeight="1">
      <c r="D975" s="13"/>
    </row>
    <row r="976" ht="15.75" customHeight="1">
      <c r="D976" s="13"/>
    </row>
    <row r="977" ht="15.75" customHeight="1">
      <c r="D977" s="13"/>
    </row>
    <row r="978" ht="15.75" customHeight="1">
      <c r="D978" s="13"/>
    </row>
    <row r="979" ht="15.75" customHeight="1">
      <c r="D979" s="13"/>
    </row>
    <row r="980" ht="15.75" customHeight="1">
      <c r="D980" s="13"/>
    </row>
    <row r="981" ht="15.75" customHeight="1">
      <c r="D981" s="13"/>
    </row>
    <row r="982" ht="15.75" customHeight="1">
      <c r="D982" s="13"/>
    </row>
    <row r="983" ht="15.75" customHeight="1">
      <c r="D983" s="13"/>
    </row>
    <row r="984" ht="15.75" customHeight="1">
      <c r="D984" s="13"/>
    </row>
    <row r="985" ht="15.75" customHeight="1">
      <c r="D985" s="13"/>
    </row>
    <row r="986" ht="15.75" customHeight="1">
      <c r="D986" s="13"/>
    </row>
    <row r="987" ht="15.75" customHeight="1">
      <c r="D987" s="13"/>
    </row>
    <row r="988" ht="15.75" customHeight="1">
      <c r="D988" s="13"/>
    </row>
    <row r="989" ht="15.75" customHeight="1">
      <c r="D989" s="13"/>
    </row>
    <row r="990" ht="15.75" customHeight="1">
      <c r="D990" s="13"/>
    </row>
    <row r="991" ht="15.75" customHeight="1">
      <c r="D991" s="13"/>
    </row>
    <row r="992" ht="15.75" customHeight="1">
      <c r="D992" s="13"/>
    </row>
    <row r="993" ht="15.75" customHeight="1">
      <c r="D993" s="13"/>
    </row>
    <row r="994" ht="15.75" customHeight="1">
      <c r="D994" s="13"/>
    </row>
    <row r="995" ht="15.75" customHeight="1">
      <c r="D995" s="13"/>
    </row>
    <row r="996" ht="15.75" customHeight="1">
      <c r="D996" s="13"/>
    </row>
    <row r="997" ht="15.75" customHeight="1">
      <c r="D997" s="13"/>
    </row>
    <row r="998" ht="15.75" customHeight="1">
      <c r="D998" s="13"/>
    </row>
    <row r="999" ht="15.75" customHeight="1">
      <c r="D999" s="13"/>
    </row>
    <row r="1000" ht="15.75" customHeight="1">
      <c r="D1000" s="13"/>
    </row>
    <row r="1001" ht="15.75" customHeight="1">
      <c r="D1001" s="13"/>
    </row>
    <row r="1002" ht="15.75" customHeight="1">
      <c r="D1002" s="13"/>
    </row>
    <row r="1003" ht="15.75" customHeight="1">
      <c r="D1003" s="13"/>
    </row>
  </sheetData>
  <autoFilter ref="$A$1:$D$58"/>
  <dataValidations>
    <dataValidation type="list" allowBlank="1" sqref="A2:A58">
      <formula1>"PLO,CLO,KLO"</formula1>
    </dataValidation>
  </dataValidation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5.0"/>
    <col customWidth="1" min="3" max="4" width="28.0"/>
    <col customWidth="1" min="5" max="6" width="16.0"/>
    <col customWidth="1" min="7" max="7" width="22.0"/>
    <col customWidth="1" min="8" max="8" width="20.0"/>
    <col customWidth="1" min="9" max="9" width="10.0"/>
    <col customWidth="1" min="10" max="10" width="20.0"/>
    <col customWidth="1" min="11" max="11" width="10.0"/>
    <col customWidth="1" min="12" max="12" width="22.0"/>
    <col customWidth="1" min="13" max="13" width="8.0"/>
    <col customWidth="1" min="14" max="14" width="10.0"/>
    <col customWidth="1" min="15" max="15" width="12.0"/>
    <col customWidth="1" min="16" max="16" width="25.0"/>
    <col customWidth="1" min="17" max="17" width="107.29"/>
    <col customWidth="1" min="18" max="27" width="8.71"/>
  </cols>
  <sheetData>
    <row r="1">
      <c r="A1" s="1" t="s">
        <v>75</v>
      </c>
      <c r="B1" s="1" t="s">
        <v>76</v>
      </c>
      <c r="C1" s="1" t="s">
        <v>77</v>
      </c>
      <c r="D1" s="14" t="s">
        <v>78</v>
      </c>
      <c r="E1" s="1" t="s">
        <v>79</v>
      </c>
      <c r="F1" s="1" t="s">
        <v>80</v>
      </c>
      <c r="G1" s="1" t="s">
        <v>81</v>
      </c>
      <c r="H1" s="1" t="s">
        <v>82</v>
      </c>
      <c r="I1" s="1" t="s">
        <v>83</v>
      </c>
      <c r="J1" s="1" t="s">
        <v>84</v>
      </c>
      <c r="K1" s="1" t="s">
        <v>85</v>
      </c>
      <c r="L1" s="1" t="s">
        <v>86</v>
      </c>
      <c r="M1" s="1" t="s">
        <v>87</v>
      </c>
      <c r="N1" s="1" t="s">
        <v>88</v>
      </c>
      <c r="O1" s="1" t="s">
        <v>89</v>
      </c>
      <c r="P1" s="1" t="s">
        <v>90</v>
      </c>
      <c r="Q1" s="1" t="s">
        <v>91</v>
      </c>
    </row>
    <row r="2">
      <c r="A2" s="15">
        <v>1.0</v>
      </c>
      <c r="B2" s="15">
        <v>1.0</v>
      </c>
      <c r="C2" s="15" t="s">
        <v>92</v>
      </c>
      <c r="D2" s="16" t="s">
        <v>93</v>
      </c>
      <c r="E2" s="15"/>
      <c r="F2" s="15"/>
      <c r="G2" s="15"/>
      <c r="H2" s="15" t="s">
        <v>93</v>
      </c>
      <c r="I2" s="15">
        <v>50.0</v>
      </c>
      <c r="J2" s="15"/>
      <c r="K2" s="15"/>
      <c r="L2" s="15"/>
      <c r="M2" s="15"/>
      <c r="N2" s="15">
        <f t="shared" ref="N2:N15" si="1">SUM(I2,K2,M2)</f>
        <v>50</v>
      </c>
      <c r="O2" s="15">
        <f>N2</f>
        <v>50</v>
      </c>
      <c r="P2" s="15"/>
      <c r="Q2" s="16" t="s">
        <v>94</v>
      </c>
    </row>
    <row r="3">
      <c r="A3" s="7">
        <v>2.0</v>
      </c>
      <c r="B3" s="7">
        <v>1.0</v>
      </c>
      <c r="C3" s="8"/>
      <c r="D3" s="8" t="s">
        <v>95</v>
      </c>
      <c r="E3" s="17" t="s">
        <v>96</v>
      </c>
      <c r="F3" s="17" t="s">
        <v>97</v>
      </c>
      <c r="G3" s="7"/>
      <c r="H3" s="8" t="s">
        <v>98</v>
      </c>
      <c r="I3" s="8">
        <v>30.0</v>
      </c>
      <c r="J3" s="8" t="s">
        <v>99</v>
      </c>
      <c r="K3" s="8">
        <v>10.0</v>
      </c>
      <c r="L3" s="7"/>
      <c r="M3" s="7"/>
      <c r="N3" s="7">
        <f t="shared" si="1"/>
        <v>40</v>
      </c>
      <c r="O3" s="7">
        <f t="shared" ref="O3:O15" si="2">O2+N3</f>
        <v>90</v>
      </c>
      <c r="P3" s="17" t="s">
        <v>100</v>
      </c>
      <c r="Q3" s="8" t="s">
        <v>101</v>
      </c>
      <c r="R3" s="11" t="s">
        <v>102</v>
      </c>
    </row>
    <row r="4">
      <c r="A4" s="7">
        <v>3.0</v>
      </c>
      <c r="B4" s="7">
        <v>1.0</v>
      </c>
      <c r="C4" s="7" t="s">
        <v>103</v>
      </c>
      <c r="D4" s="8" t="s">
        <v>104</v>
      </c>
      <c r="E4" s="17" t="s">
        <v>27</v>
      </c>
      <c r="F4" s="18" t="s">
        <v>105</v>
      </c>
      <c r="G4" s="7"/>
      <c r="H4" s="8" t="s">
        <v>98</v>
      </c>
      <c r="I4" s="8">
        <v>30.0</v>
      </c>
      <c r="J4" s="8"/>
      <c r="K4" s="8"/>
      <c r="L4" s="8" t="s">
        <v>106</v>
      </c>
      <c r="M4" s="8">
        <v>25.0</v>
      </c>
      <c r="N4" s="7">
        <f t="shared" si="1"/>
        <v>55</v>
      </c>
      <c r="O4" s="7">
        <f t="shared" si="2"/>
        <v>145</v>
      </c>
      <c r="P4" s="17" t="s">
        <v>107</v>
      </c>
      <c r="Q4" s="8" t="s">
        <v>108</v>
      </c>
      <c r="R4" s="18" t="s">
        <v>109</v>
      </c>
    </row>
    <row r="5">
      <c r="A5" s="7">
        <v>4.0</v>
      </c>
      <c r="B5" s="7">
        <v>2.0</v>
      </c>
      <c r="C5" s="7"/>
      <c r="D5" s="8" t="s">
        <v>110</v>
      </c>
      <c r="E5" s="17" t="s">
        <v>27</v>
      </c>
      <c r="F5" s="17" t="s">
        <v>111</v>
      </c>
      <c r="G5" s="7"/>
      <c r="H5" s="8" t="s">
        <v>98</v>
      </c>
      <c r="I5" s="8">
        <v>30.0</v>
      </c>
      <c r="J5" s="8" t="s">
        <v>99</v>
      </c>
      <c r="K5" s="8">
        <v>10.0</v>
      </c>
      <c r="L5" s="7"/>
      <c r="M5" s="7"/>
      <c r="N5" s="7">
        <f t="shared" si="1"/>
        <v>40</v>
      </c>
      <c r="O5" s="7">
        <f t="shared" si="2"/>
        <v>185</v>
      </c>
      <c r="P5" s="17" t="s">
        <v>112</v>
      </c>
      <c r="Q5" s="8" t="s">
        <v>113</v>
      </c>
    </row>
    <row r="6">
      <c r="A6" s="16">
        <v>5.0</v>
      </c>
      <c r="B6" s="15">
        <v>2.0</v>
      </c>
      <c r="C6" s="16" t="s">
        <v>114</v>
      </c>
      <c r="D6" s="16" t="s">
        <v>115</v>
      </c>
      <c r="E6" s="19" t="s">
        <v>116</v>
      </c>
      <c r="F6" s="15"/>
      <c r="G6" s="15"/>
      <c r="H6" s="15" t="s">
        <v>114</v>
      </c>
      <c r="I6" s="16">
        <v>100.0</v>
      </c>
      <c r="J6" s="15"/>
      <c r="K6" s="15"/>
      <c r="L6" s="15"/>
      <c r="M6" s="15"/>
      <c r="N6" s="15">
        <f t="shared" si="1"/>
        <v>100</v>
      </c>
      <c r="O6" s="15">
        <f t="shared" si="2"/>
        <v>285</v>
      </c>
      <c r="P6" s="15"/>
      <c r="Q6" s="16" t="s">
        <v>117</v>
      </c>
    </row>
    <row r="7">
      <c r="A7" s="8">
        <v>6.0</v>
      </c>
      <c r="B7" s="7">
        <v>2.0</v>
      </c>
      <c r="C7" s="7" t="s">
        <v>118</v>
      </c>
      <c r="D7" s="8" t="s">
        <v>119</v>
      </c>
      <c r="E7" s="17" t="s">
        <v>37</v>
      </c>
      <c r="F7" s="17" t="s">
        <v>120</v>
      </c>
      <c r="G7" s="8" t="s">
        <v>121</v>
      </c>
      <c r="H7" s="8" t="s">
        <v>98</v>
      </c>
      <c r="I7" s="8">
        <v>30.0</v>
      </c>
      <c r="J7" s="8" t="s">
        <v>99</v>
      </c>
      <c r="K7" s="8">
        <v>10.0</v>
      </c>
      <c r="L7" s="7"/>
      <c r="M7" s="7"/>
      <c r="N7" s="7">
        <f t="shared" si="1"/>
        <v>40</v>
      </c>
      <c r="O7" s="7">
        <f t="shared" si="2"/>
        <v>325</v>
      </c>
      <c r="P7" s="17" t="s">
        <v>122</v>
      </c>
      <c r="Q7" s="8" t="s">
        <v>123</v>
      </c>
    </row>
    <row r="8">
      <c r="A8" s="8">
        <v>7.0</v>
      </c>
      <c r="B8" s="7">
        <v>2.0</v>
      </c>
      <c r="C8" s="7"/>
      <c r="D8" s="8" t="s">
        <v>124</v>
      </c>
      <c r="E8" s="17" t="s">
        <v>37</v>
      </c>
      <c r="F8" s="17" t="s">
        <v>125</v>
      </c>
      <c r="G8" s="7"/>
      <c r="H8" s="8" t="s">
        <v>98</v>
      </c>
      <c r="I8" s="8">
        <v>30.0</v>
      </c>
      <c r="J8" s="8" t="s">
        <v>99</v>
      </c>
      <c r="K8" s="8">
        <v>10.0</v>
      </c>
      <c r="L8" s="7"/>
      <c r="M8" s="7"/>
      <c r="N8" s="7">
        <f t="shared" si="1"/>
        <v>40</v>
      </c>
      <c r="O8" s="7">
        <f t="shared" si="2"/>
        <v>365</v>
      </c>
      <c r="P8" s="17" t="s">
        <v>126</v>
      </c>
      <c r="Q8" s="8" t="s">
        <v>127</v>
      </c>
    </row>
    <row r="9">
      <c r="A9" s="7">
        <v>8.0</v>
      </c>
      <c r="B9" s="7">
        <v>2.0</v>
      </c>
      <c r="C9" s="7" t="s">
        <v>128</v>
      </c>
      <c r="D9" s="8" t="s">
        <v>129</v>
      </c>
      <c r="E9" s="17" t="s">
        <v>46</v>
      </c>
      <c r="F9" s="17" t="s">
        <v>130</v>
      </c>
      <c r="G9" s="7"/>
      <c r="H9" s="8" t="s">
        <v>98</v>
      </c>
      <c r="I9" s="8">
        <v>30.0</v>
      </c>
      <c r="J9" s="8"/>
      <c r="K9" s="8"/>
      <c r="L9" s="8" t="s">
        <v>131</v>
      </c>
      <c r="M9" s="8">
        <v>25.0</v>
      </c>
      <c r="N9" s="7">
        <f t="shared" si="1"/>
        <v>55</v>
      </c>
      <c r="O9" s="7">
        <f t="shared" si="2"/>
        <v>420</v>
      </c>
      <c r="P9" s="17" t="s">
        <v>132</v>
      </c>
      <c r="Q9" s="8" t="s">
        <v>133</v>
      </c>
    </row>
    <row r="10">
      <c r="A10" s="7">
        <v>9.0</v>
      </c>
      <c r="B10" s="7">
        <v>2.0</v>
      </c>
      <c r="C10" s="7"/>
      <c r="D10" s="8" t="s">
        <v>134</v>
      </c>
      <c r="E10" s="17" t="s">
        <v>46</v>
      </c>
      <c r="F10" s="17" t="s">
        <v>135</v>
      </c>
      <c r="G10" s="7"/>
      <c r="H10" s="8" t="s">
        <v>98</v>
      </c>
      <c r="I10" s="8">
        <v>30.0</v>
      </c>
      <c r="J10" s="8"/>
      <c r="K10" s="8"/>
      <c r="L10" s="7"/>
      <c r="M10" s="7"/>
      <c r="N10" s="7">
        <f t="shared" si="1"/>
        <v>30</v>
      </c>
      <c r="O10" s="7">
        <f t="shared" si="2"/>
        <v>450</v>
      </c>
      <c r="P10" s="17" t="s">
        <v>136</v>
      </c>
      <c r="Q10" s="8" t="s">
        <v>137</v>
      </c>
    </row>
    <row r="11">
      <c r="A11" s="15">
        <v>10.0</v>
      </c>
      <c r="B11" s="15">
        <v>2.0</v>
      </c>
      <c r="C11" s="16" t="s">
        <v>114</v>
      </c>
      <c r="D11" s="16" t="s">
        <v>138</v>
      </c>
      <c r="E11" s="19" t="s">
        <v>139</v>
      </c>
      <c r="F11" s="15"/>
      <c r="G11" s="15"/>
      <c r="H11" s="16" t="s">
        <v>114</v>
      </c>
      <c r="I11" s="16">
        <v>100.0</v>
      </c>
      <c r="J11" s="15"/>
      <c r="K11" s="15"/>
      <c r="L11" s="15"/>
      <c r="M11" s="15"/>
      <c r="N11" s="15">
        <f t="shared" si="1"/>
        <v>100</v>
      </c>
      <c r="O11" s="15">
        <f t="shared" si="2"/>
        <v>550</v>
      </c>
      <c r="P11" s="15"/>
      <c r="Q11" s="16" t="s">
        <v>140</v>
      </c>
      <c r="R11" s="20"/>
      <c r="S11" s="20"/>
      <c r="T11" s="20"/>
      <c r="U11" s="20"/>
      <c r="V11" s="20"/>
      <c r="W11" s="20"/>
      <c r="X11" s="20"/>
      <c r="Y11" s="20"/>
      <c r="Z11" s="20"/>
      <c r="AA11" s="20"/>
    </row>
    <row r="12">
      <c r="A12" s="7">
        <v>11.0</v>
      </c>
      <c r="B12" s="7">
        <v>2.0</v>
      </c>
      <c r="C12" s="7"/>
      <c r="D12" s="8" t="s">
        <v>141</v>
      </c>
      <c r="E12" s="17" t="s">
        <v>60</v>
      </c>
      <c r="F12" s="17" t="s">
        <v>142</v>
      </c>
      <c r="G12" s="7"/>
      <c r="H12" s="8" t="s">
        <v>98</v>
      </c>
      <c r="I12" s="8">
        <v>30.0</v>
      </c>
      <c r="J12" s="8" t="s">
        <v>99</v>
      </c>
      <c r="K12" s="8">
        <v>10.0</v>
      </c>
      <c r="L12" s="7"/>
      <c r="M12" s="7"/>
      <c r="N12" s="7">
        <f t="shared" si="1"/>
        <v>40</v>
      </c>
      <c r="O12" s="7">
        <f t="shared" si="2"/>
        <v>590</v>
      </c>
      <c r="P12" s="17" t="s">
        <v>143</v>
      </c>
      <c r="Q12" s="8" t="s">
        <v>144</v>
      </c>
    </row>
    <row r="13">
      <c r="A13" s="7">
        <v>12.0</v>
      </c>
      <c r="B13" s="7">
        <v>2.0</v>
      </c>
      <c r="C13" s="7"/>
      <c r="D13" s="8" t="s">
        <v>145</v>
      </c>
      <c r="E13" s="17" t="s">
        <v>69</v>
      </c>
      <c r="F13" s="17" t="s">
        <v>146</v>
      </c>
      <c r="G13" s="7"/>
      <c r="H13" s="8" t="s">
        <v>98</v>
      </c>
      <c r="I13" s="8">
        <v>30.0</v>
      </c>
      <c r="J13" s="8"/>
      <c r="K13" s="8"/>
      <c r="L13" s="7"/>
      <c r="M13" s="7"/>
      <c r="N13" s="7">
        <f t="shared" si="1"/>
        <v>30</v>
      </c>
      <c r="O13" s="7">
        <f t="shared" si="2"/>
        <v>620</v>
      </c>
      <c r="P13" s="21" t="s">
        <v>147</v>
      </c>
      <c r="Q13" s="8" t="s">
        <v>148</v>
      </c>
    </row>
    <row r="14">
      <c r="A14" s="7">
        <v>13.0</v>
      </c>
      <c r="B14" s="7">
        <v>3.0</v>
      </c>
      <c r="C14" s="7" t="s">
        <v>149</v>
      </c>
      <c r="D14" s="8" t="s">
        <v>149</v>
      </c>
      <c r="E14" s="17" t="s">
        <v>150</v>
      </c>
      <c r="F14" s="7"/>
      <c r="G14" s="7"/>
      <c r="H14" s="8" t="s">
        <v>99</v>
      </c>
      <c r="I14" s="8">
        <v>0.0</v>
      </c>
      <c r="J14" s="7"/>
      <c r="K14" s="7"/>
      <c r="L14" s="7"/>
      <c r="M14" s="7"/>
      <c r="N14" s="7">
        <f t="shared" si="1"/>
        <v>0</v>
      </c>
      <c r="O14" s="7">
        <f t="shared" si="2"/>
        <v>620</v>
      </c>
      <c r="P14" s="7"/>
      <c r="Q14" s="8" t="s">
        <v>151</v>
      </c>
      <c r="R14" s="11" t="s">
        <v>152</v>
      </c>
    </row>
    <row r="15">
      <c r="A15" s="15">
        <v>14.0</v>
      </c>
      <c r="B15" s="15">
        <v>3.0</v>
      </c>
      <c r="C15" s="15" t="s">
        <v>153</v>
      </c>
      <c r="D15" s="16" t="s">
        <v>154</v>
      </c>
      <c r="E15" s="19" t="s">
        <v>150</v>
      </c>
      <c r="F15" s="15"/>
      <c r="G15" s="15"/>
      <c r="H15" s="15" t="s">
        <v>155</v>
      </c>
      <c r="I15" s="16">
        <v>380.0</v>
      </c>
      <c r="J15" s="15"/>
      <c r="K15" s="15"/>
      <c r="L15" s="15"/>
      <c r="M15" s="15"/>
      <c r="N15" s="15">
        <f t="shared" si="1"/>
        <v>380</v>
      </c>
      <c r="O15" s="15">
        <f t="shared" si="2"/>
        <v>1000</v>
      </c>
      <c r="P15" s="15"/>
      <c r="Q15" s="16" t="s">
        <v>156</v>
      </c>
    </row>
    <row r="17">
      <c r="F17" s="22" t="s">
        <v>157</v>
      </c>
      <c r="I17" s="23">
        <f>SUM(I2:I15)</f>
        <v>900</v>
      </c>
      <c r="K17" s="23">
        <f>SUM(K2:K15)</f>
        <v>50</v>
      </c>
      <c r="M17" s="23">
        <f t="shared" ref="M17:N17" si="3">SUM(M2:M15)</f>
        <v>50</v>
      </c>
      <c r="N17" s="23">
        <f t="shared" si="3"/>
        <v>1000</v>
      </c>
    </row>
    <row r="19">
      <c r="A19" s="24" t="s">
        <v>158</v>
      </c>
    </row>
    <row r="20">
      <c r="B20" s="25" t="s">
        <v>159</v>
      </c>
      <c r="F20" s="22" t="str">
        <f>IF(N17=1000,"PASS","FAIL: "&amp;N17&amp;" pts")</f>
        <v>PASS</v>
      </c>
    </row>
    <row r="21" ht="15.75" customHeight="1">
      <c r="B21" s="25" t="s">
        <v>160</v>
      </c>
      <c r="F21" s="22" t="str">
        <f>IF(AND(I15&gt;=350,I15&lt;=450),"PASS","FAIL: "&amp;I15&amp;" pts")</f>
        <v>PASS</v>
      </c>
    </row>
    <row r="22" ht="15.75" customHeight="1">
      <c r="B22" s="25" t="s">
        <v>161</v>
      </c>
      <c r="F22" s="22" t="str">
        <f>IF(AND(I6&gt;=100,I6&lt;=200),"PASS","FAIL: "&amp;I6&amp;" pts")</f>
        <v>PASS</v>
      </c>
    </row>
    <row r="23" ht="15.75" customHeight="1">
      <c r="B23" s="25" t="s">
        <v>162</v>
      </c>
      <c r="F23" s="22" t="str">
        <f>IF(SUM(N2:N4)&lt;=250,"PASS","FAIL: "&amp;SUM(N2:N4)&amp;" pts")</f>
        <v>PASS</v>
      </c>
    </row>
    <row r="24" ht="15.75" customHeight="1">
      <c r="B24" s="25" t="s">
        <v>163</v>
      </c>
      <c r="F24" s="22" t="str">
        <f>IF(COUNTA(J2:J15)&lt;=5,"PASS","FAIL: "&amp;COUNTA(J2:J15)&amp;" units")</f>
        <v>PASS</v>
      </c>
    </row>
    <row r="25" ht="15.75" customHeight="1">
      <c r="B25" s="25" t="s">
        <v>164</v>
      </c>
      <c r="F25" s="22" t="str">
        <f>IF(MAX(K2:K15)&lt;=15,"PASS","FAIL: max "&amp;MAX(K2:K15)&amp;" pts")</f>
        <v>PASS</v>
      </c>
    </row>
    <row r="26" ht="15.75" customHeight="1">
      <c r="B26" s="25" t="s">
        <v>165</v>
      </c>
      <c r="F26" s="22" t="str">
        <f>IF(AND(J6="",M6=""),"PASS","FAIL: extra assessment found")</f>
        <v>PASS</v>
      </c>
    </row>
    <row r="27" ht="15.75" customHeight="1">
      <c r="B27" s="25" t="s">
        <v>166</v>
      </c>
      <c r="F27" s="22" t="str">
        <f>IF(AND(J15="",M15=""),"PASS","FAIL: extra assessment found")</f>
        <v>PASS</v>
      </c>
    </row>
    <row r="28" ht="15.75" customHeight="1">
      <c r="B28" s="25" t="s">
        <v>167</v>
      </c>
      <c r="F28" s="22" t="str">
        <f>IF(COUNTIF(H2:H15,"Problem Set")&gt;=9,"PASS","INFO: "&amp;COUNTIF(H2:H15,"Problem Set")&amp;" problem sets (need 9+)")</f>
        <v>PASS</v>
      </c>
    </row>
    <row r="29" ht="15.75" customHeight="1">
      <c r="B29" s="25" t="s">
        <v>168</v>
      </c>
      <c r="F29" s="22" t="str">
        <f>IF(ISNUMBER(SEARCH("(B)",G8)),"PASS","FAIL: no (B) skill in Unit 6")</f>
        <v>FAIL: no (B) skill in Unit 6</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J2:J15">
      <formula1>"Quiz,Discussion Forum"</formula1>
    </dataValidation>
    <dataValidation type="list" allowBlank="1" sqref="H2:H15">
      <formula1>"Midterm Exam,Final Exam,Problem Set,Project,Quiz,Other,Onboarding"</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7.14"/>
  </cols>
  <sheetData>
    <row r="1">
      <c r="A1" s="14" t="s">
        <v>169</v>
      </c>
    </row>
    <row r="2">
      <c r="A2" s="26" t="s">
        <v>170</v>
      </c>
    </row>
    <row r="4">
      <c r="A4" s="26" t="s">
        <v>171</v>
      </c>
    </row>
    <row r="5">
      <c r="A5" s="13"/>
    </row>
    <row r="6">
      <c r="A6" s="26" t="s">
        <v>172</v>
      </c>
    </row>
    <row r="7">
      <c r="A7" s="13"/>
    </row>
    <row r="8">
      <c r="A8" s="26" t="s">
        <v>173</v>
      </c>
    </row>
  </sheetData>
  <drawing r:id="rId1"/>
</worksheet>
</file>