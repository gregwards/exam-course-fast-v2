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urse Narrative" sheetId="1" state="visible" r:id="rId1"/>
    <sheet xmlns:r="http://schemas.openxmlformats.org/officeDocument/2006/relationships" name="LO Map" sheetId="2" state="visible" r:id="rId2"/>
    <sheet xmlns:r="http://schemas.openxmlformats.org/officeDocument/2006/relationships" name="Assessment Map" sheetId="3" state="visible" r:id="rId3"/>
  </sheets>
  <definedNames>
    <definedName name="_xlnm._FilterDatabase" localSheetId="1" hidden="1">'LO Map'!$A$1:$D$55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2F5496"/>
      <sz val="11"/>
    </font>
    <font>
      <b val="1"/>
      <sz val="14"/>
    </font>
    <font>
      <b val="1"/>
    </font>
    <font>
      <i val="1"/>
      <color rgb="00808080"/>
    </font>
  </fonts>
  <fills count="6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8F0E8"/>
        <bgColor rgb="FFE8F0E8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double">
        <color rgb="FF2F5496"/>
      </top>
      <bottom style="double">
        <color rgb="FF2F5496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tc={494ce2a2-f724-4ebe-9fe0-8ff2273fe84d}</author>
  </authors>
  <commentList>
    <comment ref="B2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@gedwards@rize.education your slack message says this is 120 points: specify the final exam is built and graded out of 120 points then scaled, or build and graded out of 350-450 points.
Assigned to gedwards@rize.education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style="10" min="1" max="1"/>
  </cols>
  <sheetData>
    <row r="1">
      <c r="A1" s="11" t="inlineStr">
        <is>
          <t>Course Narrative</t>
        </is>
      </c>
    </row>
    <row r="3">
      <c r="A3" s="12" t="inlineStr">
        <is>
          <t>Course Opinion</t>
        </is>
      </c>
    </row>
    <row r="4" ht="60" customHeight="1" s="10">
      <c r="A4" s="13" t="inlineStr">
        <is>
          <t>Guidance: Two or three sentences a student might actually say to someone after a great version of the course. Non-obvious, punchy, slightly surprising. NOT a tagline, NOT a learning outcome, NOT a textbook description. Test: would a student want to tell someone about it at dinner?</t>
        </is>
      </c>
    </row>
    <row r="5" ht="60" customHeight="1" s="10">
      <c r="A5" s="14" t="inlineStr">
        <is>
          <t>[Your course opinion here]</t>
        </is>
      </c>
    </row>
    <row r="7">
      <c r="A7" s="12" t="inlineStr">
        <is>
          <t>Act 1 Narrative — Onboarding (Units 1–3)</t>
        </is>
      </c>
    </row>
    <row r="8" ht="60" customHeight="1" s="10">
      <c r="A8" s="13" t="inlineStr">
        <is>
          <t>Guidance: 100–200 words. What does Act 1 teach? What questions can the student answer by the end of it? What is the cognitive shift students make in Act 1? Reference the units it spans. Voice: second person, direct, no hype.</t>
        </is>
      </c>
    </row>
    <row r="9" ht="60" customHeight="1" s="10">
      <c r="A9" s="14" t="inlineStr">
        <is>
          <t>[Act 1 narrative here]</t>
        </is>
      </c>
    </row>
    <row r="11">
      <c r="A11" s="12" t="inlineStr">
        <is>
          <t>Act 2 Narrative — Core (Units 4–11/12)</t>
        </is>
      </c>
    </row>
    <row r="12" ht="60" customHeight="1" s="10">
      <c r="A12" s="13" t="inlineStr">
        <is>
          <t>Guidance: 100–200 words. What does Act 2 build on from Act 1? What new thing does it teach? What questions can the student answer by the end of it? Reference what changed since Act 1. Voice: same as Act 1.</t>
        </is>
      </c>
    </row>
    <row r="13" ht="60" customHeight="1" s="10">
      <c r="A13" s="14" t="inlineStr">
        <is>
          <t>[Act 2 narrative here]</t>
        </is>
      </c>
    </row>
    <row r="15">
      <c r="A15" s="12" t="inlineStr">
        <is>
          <t>Act 3 Narrative — Final (Units 12/13–14)</t>
        </is>
      </c>
    </row>
    <row r="16" ht="60" customHeight="1" s="10">
      <c r="A16" s="13" t="inlineStr">
        <is>
          <t>Guidance: 100–200 words. What does Act 3 deliver? For Exam-Primary: cumulative review + final exam preparation. For Project-Primary: final project submission + Async Fair. What should the student feel having completed it?</t>
        </is>
      </c>
    </row>
    <row r="17" ht="60" customHeight="1" s="10">
      <c r="A17" s="14" t="inlineStr">
        <is>
          <t>[Act 3 narrative here]</t>
        </is>
      </c>
    </row>
    <row r="19">
      <c r="A19" s="12" t="inlineStr">
        <is>
          <t>What to Avoid</t>
        </is>
      </c>
    </row>
    <row r="20" ht="60" customHeight="1" s="10">
      <c r="A20" s="13" t="inlineStr">
        <is>
          <t>Guidance: The specific failure mode this course is most at risk of. Naming it explicitly helps the AI and ID guard against it. Examples: 'students reverting to pattern-matching and missing the conceptual grounding'; 'final project becoming a paint-by-numbers exercise'; 'workload pile-ups that punish students for engaging with optional resources'.</t>
        </is>
      </c>
    </row>
    <row r="21" ht="60" customHeight="1" s="10">
      <c r="A21" s="14" t="inlineStr">
        <is>
          <t>[What to avoid here]</t>
        </is>
      </c>
    </row>
    <row r="23">
      <c r="A23" s="12" t="inlineStr">
        <is>
          <t>What Success Looks Like</t>
        </is>
      </c>
    </row>
    <row r="24" ht="60" customHeight="1" s="10">
      <c r="A24" s="13" t="inlineStr">
        <is>
          <t>Guidance: What does it look like when this course truly works? Specific student behaviors or outcomes that signal the opinion landed. Examples: 'lightbulb moments from problem sets; concepts come up in conversation; students want to take the next course'; 'students could show their final project in a job interview and defend each design decision'.</t>
        </is>
      </c>
    </row>
    <row r="25" ht="60" customHeight="1" s="10">
      <c r="A25" s="14" t="inlineStr">
        <is>
          <t>[What success looks like here]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F5496"/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10" min="1" max="1"/>
    <col width="8" customWidth="1" style="10" min="2" max="2"/>
    <col width="10" customWidth="1" style="10" min="3" max="3"/>
    <col width="80" customWidth="1" style="10" min="4" max="4"/>
    <col width="8.710000000000001" customWidth="1" style="10" min="5" max="26"/>
  </cols>
  <sheetData>
    <row r="1">
      <c r="A1" s="1" t="inlineStr">
        <is>
          <t>LO Type</t>
        </is>
      </c>
      <c r="B1" s="1" t="inlineStr">
        <is>
          <t>#</t>
        </is>
      </c>
      <c r="C1" s="1" t="inlineStr">
        <is>
          <t>Parent</t>
        </is>
      </c>
      <c r="D1" s="1" t="inlineStr">
        <is>
          <t>Description</t>
        </is>
      </c>
      <c r="E1" t="inlineStr">
        <is>
          <t>Notes</t>
        </is>
      </c>
    </row>
    <row r="2">
      <c r="A2" s="2" t="inlineStr">
        <is>
          <t>PLO</t>
        </is>
      </c>
      <c r="B2" s="2" t="n"/>
      <c r="C2" s="2" t="n"/>
      <c r="D2" s="2" t="inlineStr">
        <is>
          <t>Execute a comprehensive project from initiation to closure, applying all project management knowledge and skills to deliver measurable outcomes.</t>
        </is>
      </c>
    </row>
    <row r="3">
      <c r="A3" s="3" t="inlineStr">
        <is>
          <t>CLO</t>
        </is>
      </c>
      <c r="B3" s="3" t="n">
        <v>1</v>
      </c>
      <c r="C3" s="3" t="inlineStr">
        <is>
          <t>PLO</t>
        </is>
      </c>
      <c r="D3" s="3" t="inlineStr">
        <is>
          <t>Develop a comprehensive project charter that includes key information such as project goals, scope, benefits, costs, and success criteria to guide project execution.</t>
        </is>
      </c>
    </row>
    <row r="4">
      <c r="A4" s="3" t="inlineStr">
        <is>
          <t>CLO</t>
        </is>
      </c>
      <c r="B4" s="3" t="n">
        <v>2</v>
      </c>
      <c r="C4" s="3" t="inlineStr">
        <is>
          <t>PLO</t>
        </is>
      </c>
      <c r="D4" s="3" t="inlineStr">
        <is>
          <t>Construct a detailed project plan by identifying tasks, milestones, dependencies, and resources, ensuring alignment with project objectives and stakeholder expectations.</t>
        </is>
      </c>
    </row>
    <row r="5">
      <c r="A5" s="3" t="inlineStr">
        <is>
          <t>CLO</t>
        </is>
      </c>
      <c r="B5" s="3" t="n">
        <v>3</v>
      </c>
      <c r="C5" s="3" t="inlineStr">
        <is>
          <t>PLO</t>
        </is>
      </c>
      <c r="D5" s="3" t="inlineStr">
        <is>
          <t>Implement proactive risk management by identifying potential risks, developing mitigation plans, and responding to risks as they arise.</t>
        </is>
      </c>
    </row>
    <row r="6">
      <c r="A6" s="3" t="inlineStr">
        <is>
          <t>CLO</t>
        </is>
      </c>
      <c r="B6" s="3" t="n">
        <v>4</v>
      </c>
      <c r="C6" s="3" t="inlineStr">
        <is>
          <t>PLO</t>
        </is>
      </c>
      <c r="D6" s="3" t="inlineStr">
        <is>
          <t>Evaluate project quality standards and implement quality control measures to ensure the project meets the required level of quality.</t>
        </is>
      </c>
    </row>
    <row r="7">
      <c r="A7" s="3" t="inlineStr">
        <is>
          <t>CLO</t>
        </is>
      </c>
      <c r="B7" s="3" t="n">
        <v>5</v>
      </c>
      <c r="C7" s="3" t="inlineStr">
        <is>
          <t>PLO</t>
        </is>
      </c>
      <c r="D7" s="3" t="inlineStr">
        <is>
          <t>Demonstrate effective team management and leadership by fostering collaboration, resolving conflicts, and motivating team members to achieve project goals.</t>
        </is>
      </c>
    </row>
    <row r="8">
      <c r="A8" s="3" t="inlineStr">
        <is>
          <t>CLO</t>
        </is>
      </c>
      <c r="B8" s="3" t="n">
        <v>6</v>
      </c>
      <c r="C8" s="3" t="inlineStr">
        <is>
          <t>PLO</t>
        </is>
      </c>
      <c r="D8" s="3" t="inlineStr">
        <is>
          <t>Apply Agile methodologies, where appropriate, to manage project scope, enhance flexibility, and deliver value incrementally.</t>
        </is>
      </c>
    </row>
    <row r="9">
      <c r="A9" s="3" t="inlineStr">
        <is>
          <t>CLO</t>
        </is>
      </c>
      <c r="B9" s="3" t="n">
        <v>7</v>
      </c>
      <c r="C9" s="3" t="inlineStr">
        <is>
          <t>PLO</t>
        </is>
      </c>
      <c r="D9" s="3" t="inlineStr">
        <is>
          <t>Analyze project performance data and create stakeholder reports using effective storytelling strategies to communicate progress, challenges, and outcomes.</t>
        </is>
      </c>
    </row>
    <row r="10">
      <c r="A10" s="3" t="inlineStr">
        <is>
          <t>CLO</t>
        </is>
      </c>
      <c r="B10" s="3" t="n">
        <v>8</v>
      </c>
      <c r="C10" s="3" t="inlineStr">
        <is>
          <t>PLO</t>
        </is>
      </c>
      <c r="D10" s="3" t="inlineStr">
        <is>
          <t>Set, track, and refine career objectives to strategically navigate the process of securing a postgraduate position in project management.</t>
        </is>
      </c>
    </row>
    <row r="11">
      <c r="A11" s="4" t="inlineStr">
        <is>
          <t>KLO</t>
        </is>
      </c>
      <c r="B11" s="4" t="n">
        <v>1</v>
      </c>
      <c r="C11" s="4" t="inlineStr">
        <is>
          <t>CLO-1</t>
        </is>
      </c>
      <c r="D11" s="4" t="inlineStr">
        <is>
          <t>[AI-generated: e.g. Identify the five core components of a project charter]</t>
        </is>
      </c>
    </row>
    <row r="12">
      <c r="A12" s="4" t="inlineStr">
        <is>
          <t>KLO</t>
        </is>
      </c>
      <c r="B12" s="4" t="n">
        <v>2</v>
      </c>
      <c r="C12" s="4" t="inlineStr">
        <is>
          <t>CLO-1</t>
        </is>
      </c>
      <c r="D12" s="4" t="inlineStr">
        <is>
          <t>[AI-generated: e.g. Draft a scope statement with measurable deliverables]</t>
        </is>
      </c>
    </row>
    <row r="13">
      <c r="A13" s="4" t="inlineStr">
        <is>
          <t>KLO</t>
        </is>
      </c>
      <c r="B13" s="4" t="n">
        <v>3</v>
      </c>
      <c r="C13" s="4" t="inlineStr">
        <is>
          <t>CLO-2</t>
        </is>
      </c>
      <c r="D13" s="4" t="inlineStr">
        <is>
          <t>[AI-generated: e.g. Sequence tasks using a work breakdown structure]</t>
        </is>
      </c>
    </row>
    <row r="14">
      <c r="A14" s="4" t="inlineStr">
        <is>
          <t>KLO</t>
        </is>
      </c>
      <c r="B14" s="4" t="n">
        <v>4</v>
      </c>
      <c r="C14" s="4" t="inlineStr">
        <is>
          <t>CLO-2</t>
        </is>
      </c>
      <c r="D14" s="4" t="inlineStr">
        <is>
          <t>[AI-generated: e.g. Estimate task durations using analogous and parametric methods]</t>
        </is>
      </c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 ht="15.75" customHeight="1" s="10">
      <c r="A21" s="4" t="n"/>
      <c r="B21" s="4" t="n"/>
      <c r="C21" s="4" t="n"/>
      <c r="D21" s="4" t="n"/>
    </row>
    <row r="22" ht="15.75" customHeight="1" s="10">
      <c r="A22" s="4" t="n"/>
      <c r="B22" s="4" t="n"/>
      <c r="C22" s="4" t="n"/>
      <c r="D22" s="4" t="n"/>
    </row>
    <row r="23" ht="15.75" customHeight="1" s="10">
      <c r="A23" s="4" t="n"/>
      <c r="B23" s="4" t="n"/>
      <c r="C23" s="4" t="n"/>
      <c r="D23" s="4" t="n"/>
    </row>
    <row r="24" ht="15.75" customHeight="1" s="10">
      <c r="A24" s="4" t="n"/>
      <c r="B24" s="4" t="n"/>
      <c r="C24" s="4" t="n"/>
      <c r="D24" s="4" t="n"/>
    </row>
    <row r="25" ht="15.75" customHeight="1" s="10">
      <c r="A25" s="4" t="n"/>
      <c r="B25" s="4" t="n"/>
      <c r="C25" s="4" t="n"/>
      <c r="D25" s="4" t="n"/>
    </row>
    <row r="26" ht="15.75" customHeight="1" s="10">
      <c r="A26" s="4" t="n"/>
      <c r="B26" s="4" t="n"/>
      <c r="C26" s="4" t="n"/>
      <c r="D26" s="4" t="n"/>
    </row>
    <row r="27" ht="15.75" customHeight="1" s="10">
      <c r="A27" s="4" t="n"/>
      <c r="B27" s="4" t="n"/>
      <c r="C27" s="4" t="n"/>
      <c r="D27" s="4" t="n"/>
    </row>
    <row r="28" ht="15.75" customHeight="1" s="10">
      <c r="A28" s="4" t="n"/>
      <c r="B28" s="4" t="n"/>
      <c r="C28" s="4" t="n"/>
      <c r="D28" s="4" t="n"/>
    </row>
    <row r="29" ht="15.75" customHeight="1" s="10">
      <c r="A29" s="4" t="n"/>
      <c r="B29" s="4" t="n"/>
      <c r="C29" s="4" t="n"/>
      <c r="D29" s="4" t="n"/>
    </row>
    <row r="30" ht="15.75" customHeight="1" s="10">
      <c r="A30" s="4" t="n"/>
      <c r="B30" s="4" t="n"/>
      <c r="C30" s="4" t="n"/>
      <c r="D30" s="4" t="n"/>
    </row>
    <row r="31" ht="15.75" customHeight="1" s="10">
      <c r="A31" s="4" t="n"/>
      <c r="B31" s="4" t="n"/>
      <c r="C31" s="4" t="n"/>
      <c r="D31" s="4" t="n"/>
    </row>
    <row r="32" ht="15.75" customHeight="1" s="10">
      <c r="A32" s="4" t="n"/>
      <c r="B32" s="4" t="n"/>
      <c r="C32" s="4" t="n"/>
      <c r="D32" s="4" t="n"/>
    </row>
    <row r="33" ht="15.75" customHeight="1" s="10">
      <c r="A33" s="4" t="n"/>
      <c r="B33" s="4" t="n"/>
      <c r="C33" s="4" t="n"/>
      <c r="D33" s="4" t="n"/>
    </row>
    <row r="34" ht="15.75" customHeight="1" s="10">
      <c r="A34" s="4" t="n"/>
      <c r="B34" s="4" t="n"/>
      <c r="C34" s="4" t="n"/>
      <c r="D34" s="4" t="n"/>
    </row>
    <row r="35" ht="15.75" customHeight="1" s="10">
      <c r="A35" s="4" t="n"/>
      <c r="B35" s="4" t="n"/>
      <c r="C35" s="4" t="n"/>
      <c r="D35" s="4" t="n"/>
    </row>
    <row r="36" ht="15.75" customHeight="1" s="10">
      <c r="A36" s="4" t="n"/>
      <c r="B36" s="4" t="n"/>
      <c r="C36" s="4" t="n"/>
      <c r="D36" s="4" t="n"/>
    </row>
    <row r="37" ht="15.75" customHeight="1" s="10">
      <c r="A37" s="4" t="n"/>
      <c r="B37" s="4" t="n"/>
      <c r="C37" s="4" t="n"/>
      <c r="D37" s="4" t="n"/>
    </row>
    <row r="38" ht="15.75" customHeight="1" s="10">
      <c r="A38" s="4" t="n"/>
      <c r="B38" s="4" t="n"/>
      <c r="C38" s="4" t="n"/>
      <c r="D38" s="4" t="n"/>
    </row>
    <row r="39" ht="15.75" customHeight="1" s="10">
      <c r="A39" s="4" t="n"/>
      <c r="B39" s="4" t="n"/>
      <c r="C39" s="4" t="n"/>
      <c r="D39" s="4" t="n"/>
    </row>
    <row r="40" ht="15.75" customHeight="1" s="10">
      <c r="A40" s="4" t="n"/>
      <c r="B40" s="4" t="n"/>
      <c r="C40" s="4" t="n"/>
      <c r="D40" s="4" t="n"/>
    </row>
    <row r="41" ht="15.75" customHeight="1" s="10">
      <c r="A41" s="4" t="n"/>
      <c r="B41" s="4" t="n"/>
      <c r="C41" s="4" t="n"/>
      <c r="D41" s="4" t="n"/>
    </row>
    <row r="42" ht="15.75" customHeight="1" s="10">
      <c r="A42" s="4" t="n"/>
      <c r="B42" s="4" t="n"/>
      <c r="C42" s="4" t="n"/>
      <c r="D42" s="4" t="n"/>
    </row>
    <row r="43" ht="15.75" customHeight="1" s="10">
      <c r="A43" s="4" t="n"/>
      <c r="B43" s="4" t="n"/>
      <c r="C43" s="4" t="n"/>
      <c r="D43" s="4" t="n"/>
    </row>
    <row r="44" ht="15.75" customHeight="1" s="10">
      <c r="A44" s="4" t="n"/>
      <c r="B44" s="4" t="n"/>
      <c r="C44" s="4" t="n"/>
      <c r="D44" s="4" t="n"/>
    </row>
    <row r="45" ht="15.75" customHeight="1" s="10">
      <c r="A45" s="4" t="n"/>
      <c r="B45" s="4" t="n"/>
      <c r="C45" s="4" t="n"/>
      <c r="D45" s="4" t="n"/>
    </row>
    <row r="46" ht="15.75" customHeight="1" s="10">
      <c r="A46" s="4" t="n"/>
      <c r="B46" s="4" t="n"/>
      <c r="C46" s="4" t="n"/>
      <c r="D46" s="4" t="n"/>
    </row>
    <row r="47" ht="15.75" customHeight="1" s="10">
      <c r="A47" s="4" t="n"/>
      <c r="B47" s="4" t="n"/>
      <c r="C47" s="4" t="n"/>
      <c r="D47" s="4" t="n"/>
    </row>
    <row r="48" ht="15.75" customHeight="1" s="10">
      <c r="A48" s="4" t="n"/>
      <c r="B48" s="4" t="n"/>
      <c r="C48" s="4" t="n"/>
      <c r="D48" s="4" t="n"/>
    </row>
    <row r="49" ht="15.75" customHeight="1" s="10">
      <c r="A49" s="4" t="n"/>
      <c r="B49" s="4" t="n"/>
      <c r="C49" s="4" t="n"/>
      <c r="D49" s="4" t="n"/>
    </row>
    <row r="50" ht="15.75" customHeight="1" s="10">
      <c r="A50" s="4" t="n"/>
      <c r="B50" s="4" t="n"/>
      <c r="C50" s="4" t="n"/>
      <c r="D50" s="4" t="n"/>
    </row>
    <row r="51" ht="15.75" customHeight="1" s="10">
      <c r="A51" s="4" t="n"/>
      <c r="B51" s="4" t="n"/>
      <c r="C51" s="4" t="n"/>
      <c r="D51" s="4" t="n"/>
    </row>
    <row r="52" ht="15.75" customHeight="1" s="10">
      <c r="A52" s="4" t="n"/>
      <c r="B52" s="4" t="n"/>
      <c r="C52" s="4" t="n"/>
      <c r="D52" s="4" t="n"/>
    </row>
    <row r="53" ht="15.75" customHeight="1" s="10">
      <c r="A53" s="4" t="n"/>
      <c r="B53" s="4" t="n"/>
      <c r="C53" s="4" t="n"/>
      <c r="D53" s="4" t="n"/>
    </row>
    <row r="54" ht="15.75" customHeight="1" s="10">
      <c r="A54" s="4" t="n"/>
      <c r="B54" s="4" t="n"/>
      <c r="C54" s="4" t="n"/>
      <c r="D54" s="4" t="n"/>
    </row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autoFilter ref="$A$1:$D$55"/>
  <dataValidations count="1">
    <dataValidation sqref="A2:A55" showDropDown="0" showInputMessage="0" showErrorMessage="0" allowBlank="1" type="list">
      <formula1>"PLO,CLO,KLO"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10" min="1" max="1"/>
    <col width="5" customWidth="1" style="10" min="2" max="2"/>
    <col width="28" customWidth="1" style="10" min="3" max="3"/>
    <col width="16" customWidth="1" style="10" min="4" max="5"/>
    <col width="22" customWidth="1" style="10" min="6" max="6"/>
    <col width="20" customWidth="1" style="10" min="7" max="7"/>
    <col width="10" customWidth="1" style="10" min="8" max="8"/>
    <col width="20" customWidth="1" style="10" min="9" max="9"/>
    <col width="10" customWidth="1" style="10" min="10" max="10"/>
    <col width="22" customWidth="1" style="10" min="11" max="11"/>
    <col width="8" customWidth="1" style="10" min="12" max="12"/>
    <col width="10" customWidth="1" style="10" min="13" max="13"/>
    <col width="12" customWidth="1" style="10" min="14" max="14"/>
    <col width="25" customWidth="1" style="10" min="15" max="15"/>
    <col width="55" customWidth="1" style="10" min="16" max="16"/>
    <col width="8.710000000000001" customWidth="1" style="10" min="17" max="26"/>
  </cols>
  <sheetData>
    <row r="1">
      <c r="A1" s="1" t="inlineStr">
        <is>
          <t>Unit</t>
        </is>
      </c>
      <c r="B1" s="1" t="inlineStr">
        <is>
          <t>Act</t>
        </is>
      </c>
      <c r="C1" s="1" t="inlineStr">
        <is>
          <t>Rize Requirements</t>
        </is>
      </c>
      <c r="D1" t="inlineStr">
        <is>
          <t>Topic</t>
        </is>
      </c>
      <c r="E1" s="1" t="inlineStr">
        <is>
          <t>CLOs Covered</t>
        </is>
      </c>
      <c r="F1" s="1" t="inlineStr">
        <is>
          <t>KLOs Covered</t>
        </is>
      </c>
      <c r="G1" s="1" t="inlineStr">
        <is>
          <t>Skill</t>
        </is>
      </c>
      <c r="H1" s="1" t="inlineStr">
        <is>
          <t>Primary Assessment</t>
        </is>
      </c>
      <c r="I1" s="1" t="inlineStr">
        <is>
          <t>Primary Pts</t>
        </is>
      </c>
      <c r="J1" s="1" t="inlineStr">
        <is>
          <t>Secondary Assessment</t>
        </is>
      </c>
      <c r="K1" s="1" t="inlineStr">
        <is>
          <t>Secondary Pts</t>
        </is>
      </c>
      <c r="L1" s="1" t="inlineStr">
        <is>
          <t>Career Milestone</t>
        </is>
      </c>
      <c r="M1" s="1" t="inlineStr">
        <is>
          <t>CM Pts</t>
        </is>
      </c>
      <c r="N1" s="1" t="inlineStr">
        <is>
          <t>Unit Pts</t>
        </is>
      </c>
      <c r="O1" s="1" t="inlineStr">
        <is>
          <t>Cumulative Pts</t>
        </is>
      </c>
      <c r="P1" s="1" t="inlineStr">
        <is>
          <t>Primary Resource / Textbook Ch.</t>
        </is>
      </c>
      <c r="Q1" s="1" t="inlineStr">
        <is>
          <t>Unit Description</t>
        </is>
      </c>
    </row>
    <row r="2">
      <c r="A2" s="5" t="n">
        <v>1</v>
      </c>
      <c r="B2" s="5" t="n">
        <v>1</v>
      </c>
      <c r="C2" s="5" t="inlineStr">
        <is>
          <t>Onboarding Tasks (50 pts)</t>
        </is>
      </c>
      <c r="E2" s="5" t="n"/>
      <c r="F2" s="5" t="n"/>
      <c r="G2" s="5" t="n"/>
      <c r="H2" s="5" t="inlineStr">
        <is>
          <t>Onboarding</t>
        </is>
      </c>
      <c r="I2" s="5" t="n">
        <v>50</v>
      </c>
      <c r="J2" s="5" t="n"/>
      <c r="K2" s="5" t="n"/>
      <c r="L2" s="5" t="n"/>
      <c r="M2" s="5" t="n"/>
      <c r="N2" s="5">
        <f>SUM(I2,K2,M2)</f>
        <v/>
      </c>
      <c r="O2" s="5">
        <f>N2</f>
        <v/>
      </c>
      <c r="P2" s="5" t="n"/>
      <c r="Q2" s="5" t="n"/>
    </row>
    <row r="3">
      <c r="A3" s="4" t="n">
        <v>2</v>
      </c>
      <c r="B3" s="4" t="n">
        <v>1</v>
      </c>
      <c r="C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>
        <f>SUM(I3,K3,M3)</f>
        <v/>
      </c>
      <c r="O3" s="4">
        <f>O2+N3</f>
        <v/>
      </c>
      <c r="P3" s="4" t="n"/>
      <c r="Q3" s="4" t="n"/>
    </row>
    <row r="4">
      <c r="A4" s="4" t="n">
        <v>3</v>
      </c>
      <c r="B4" s="4" t="n">
        <v>1</v>
      </c>
      <c r="C4" s="4" t="inlineStr">
        <is>
          <t>100/200: MyCareer Onboarding (25 pts)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>
        <f>SUM(I4,K4,M4)</f>
        <v/>
      </c>
      <c r="O4" s="4">
        <f>O3+N4</f>
        <v/>
      </c>
      <c r="P4" s="4" t="n"/>
      <c r="Q4" s="4" t="n"/>
    </row>
    <row r="5">
      <c r="A5" s="4" t="n">
        <v>4</v>
      </c>
      <c r="B5" s="4" t="n">
        <v>2</v>
      </c>
      <c r="C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>
        <f>SUM(I5,K5,M5)</f>
        <v/>
      </c>
      <c r="O5" s="4">
        <f>O4+N5</f>
        <v/>
      </c>
      <c r="P5" s="4" t="n"/>
      <c r="Q5" s="4" t="n"/>
    </row>
    <row r="6">
      <c r="A6" s="4" t="n">
        <v>5</v>
      </c>
      <c r="B6" s="4" t="n">
        <v>2</v>
      </c>
      <c r="C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>
        <f>SUM(I6,K6,M6)</f>
        <v/>
      </c>
      <c r="O6" s="4">
        <f>O5+N6</f>
        <v/>
      </c>
      <c r="P6" s="4" t="n"/>
      <c r="Q6" s="4" t="n"/>
    </row>
    <row r="7">
      <c r="A7" s="4" t="n">
        <v>6</v>
      </c>
      <c r="B7" s="4" t="n">
        <v>2</v>
      </c>
      <c r="C7" s="4" t="inlineStr">
        <is>
          <t>Skill Benchmark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>
        <f>SUM(I7,K7,M7)</f>
        <v/>
      </c>
      <c r="O7" s="4">
        <f>O6+N7</f>
        <v/>
      </c>
      <c r="P7" s="4" t="n"/>
      <c r="Q7" s="4" t="n"/>
    </row>
    <row r="8">
      <c r="A8" s="5" t="n">
        <v>7</v>
      </c>
      <c r="B8" s="5" t="n">
        <v>2</v>
      </c>
      <c r="C8" s="5" t="inlineStr">
        <is>
          <t>Midterm Exam (default location)</t>
        </is>
      </c>
      <c r="E8" s="5" t="n"/>
      <c r="F8" s="5" t="n"/>
      <c r="G8" s="5" t="n"/>
      <c r="H8" s="5" t="inlineStr">
        <is>
          <t>Midterm Exam</t>
        </is>
      </c>
      <c r="I8" s="5" t="n"/>
      <c r="J8" s="5" t="n"/>
      <c r="K8" s="5" t="n"/>
      <c r="L8" s="5" t="n"/>
      <c r="M8" s="5" t="n"/>
      <c r="N8" s="5">
        <f>SUM(I8,K8,M8)</f>
        <v/>
      </c>
      <c r="O8" s="5">
        <f>O7+N8</f>
        <v/>
      </c>
      <c r="P8" s="5" t="n"/>
      <c r="Q8" s="5" t="n"/>
    </row>
    <row r="9">
      <c r="A9" s="4" t="n">
        <v>8</v>
      </c>
      <c r="B9" s="4" t="n">
        <v>2</v>
      </c>
      <c r="C9" s="4" t="inlineStr">
        <is>
          <t>100/200: ROI Journey (25 pts); Units 7-9 window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>
        <f>SUM(I9,K9,M9)</f>
        <v/>
      </c>
      <c r="O9" s="4">
        <f>O8+N9</f>
        <v/>
      </c>
      <c r="P9" s="4" t="n"/>
      <c r="Q9" s="4" t="n"/>
    </row>
    <row r="10">
      <c r="A10" s="4" t="n">
        <v>9</v>
      </c>
      <c r="B10" s="4" t="n">
        <v>2</v>
      </c>
      <c r="C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>
        <f>SUM(I10,K10,M10)</f>
        <v/>
      </c>
      <c r="O10" s="4">
        <f>O9+N10</f>
        <v/>
      </c>
      <c r="P10" s="4" t="n"/>
      <c r="Q10" s="4" t="n"/>
    </row>
    <row r="11">
      <c r="A11" s="4" t="n">
        <v>10</v>
      </c>
      <c r="B11" s="4" t="n">
        <v>2</v>
      </c>
      <c r="C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>
        <f>SUM(I11,K11,M11)</f>
        <v/>
      </c>
      <c r="O11" s="4">
        <f>O10+N11</f>
        <v/>
      </c>
      <c r="P11" s="4" t="n"/>
      <c r="Q11" s="4" t="n"/>
    </row>
    <row r="12">
      <c r="A12" s="4" t="n">
        <v>11</v>
      </c>
      <c r="B12" s="4" t="n">
        <v>2</v>
      </c>
      <c r="C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>
        <f>SUM(I12,K12,M12)</f>
        <v/>
      </c>
      <c r="O12" s="4">
        <f>O11+N12</f>
        <v/>
      </c>
      <c r="P12" s="4" t="n"/>
      <c r="Q12" s="4" t="n"/>
    </row>
    <row r="13">
      <c r="A13" s="4" t="n">
        <v>12</v>
      </c>
      <c r="B13" s="4" t="n">
        <v>2</v>
      </c>
      <c r="C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>
        <f>SUM(I13,K13,M13)</f>
        <v/>
      </c>
      <c r="O13" s="4">
        <f>O12+N13</f>
        <v/>
      </c>
      <c r="P13" s="4" t="n"/>
      <c r="Q13" s="4" t="n"/>
    </row>
    <row r="14">
      <c r="A14" s="4" t="n">
        <v>13</v>
      </c>
      <c r="B14" s="4" t="n">
        <v>3</v>
      </c>
      <c r="C14" s="4" t="inlineStr">
        <is>
          <t>Cumulative Review / Practice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>
        <f>SUM(I14,K14,M14)</f>
        <v/>
      </c>
      <c r="O14" s="4">
        <f>O13+N14</f>
        <v/>
      </c>
      <c r="P14" s="4" t="n"/>
      <c r="Q14" s="4" t="n"/>
    </row>
    <row r="15">
      <c r="A15" s="5" t="n">
        <v>14</v>
      </c>
      <c r="B15" s="5" t="n">
        <v>3</v>
      </c>
      <c r="C15" s="5" t="inlineStr">
        <is>
          <t>Final Exam (HonorLock proctored)</t>
        </is>
      </c>
      <c r="E15" s="5" t="n"/>
      <c r="F15" s="5" t="n"/>
      <c r="G15" s="5" t="n"/>
      <c r="H15" s="5" t="inlineStr">
        <is>
          <t>Final Exam</t>
        </is>
      </c>
      <c r="I15" s="5" t="n"/>
      <c r="J15" s="5" t="n"/>
      <c r="K15" s="5" t="n"/>
      <c r="L15" s="5" t="n"/>
      <c r="M15" s="5" t="n"/>
      <c r="N15" s="5">
        <f>SUM(I15,K15,M15)</f>
        <v/>
      </c>
      <c r="O15" s="5">
        <f>O14+N15</f>
        <v/>
      </c>
      <c r="P15" s="5" t="n"/>
      <c r="Q15" s="5" t="n"/>
    </row>
    <row r="16"/>
    <row r="17">
      <c r="F17" s="6" t="inlineStr">
        <is>
          <t>TOTALS</t>
        </is>
      </c>
      <c r="I17" s="7">
        <f>SUM(I2:I15)</f>
        <v/>
      </c>
      <c r="K17" s="7">
        <f>SUM(K2:K15)</f>
        <v/>
      </c>
      <c r="M17" s="7">
        <f>SUM(M2:M15)</f>
        <v/>
      </c>
      <c r="N17" s="7">
        <f>SUM(N2:N15)</f>
        <v/>
      </c>
    </row>
    <row r="18"/>
    <row r="19">
      <c r="A19" s="8" t="inlineStr">
        <is>
          <t>VALIDATION CHECKS</t>
        </is>
      </c>
    </row>
    <row r="20">
      <c r="B20" s="9" t="inlineStr">
        <is>
          <t>Total = 1000 pts</t>
        </is>
      </c>
      <c r="F20" s="6">
        <f>IF(N17=1000,"PASS","FAIL: "&amp;N17&amp;" pts")</f>
        <v/>
      </c>
    </row>
    <row r="21" ht="15.75" customHeight="1" s="10">
      <c r="B21" s="9" t="inlineStr">
        <is>
          <t>Final Exam 350-450 pts</t>
        </is>
      </c>
      <c r="F21" s="6">
        <f>IF(AND(I15&gt;=350,I15&lt;=450),"PASS","FAIL: "&amp;I15&amp;" pts")</f>
        <v/>
      </c>
    </row>
    <row r="22" ht="15.75" customHeight="1" s="10">
      <c r="B22" s="9" t="inlineStr">
        <is>
          <t>Midterm 100-200 pts</t>
        </is>
      </c>
      <c r="F22" s="6">
        <f>IF(AND(I8&gt;=100,I8&lt;=200),"PASS","FAIL: "&amp;I8&amp;" pts")</f>
        <v/>
      </c>
    </row>
    <row r="23" ht="15.75" customHeight="1" s="10">
      <c r="B23" s="9" t="inlineStr">
        <is>
          <t>Act 1 &lt;= 250 pts</t>
        </is>
      </c>
      <c r="F23" s="6">
        <f>IF(SUM(N2:N4)&lt;=250,"PASS","FAIL: "&amp;SUM(N2:N4)&amp;" pts")</f>
        <v/>
      </c>
    </row>
    <row r="24" ht="15.75" customHeight="1" s="10">
      <c r="B24" s="9" t="inlineStr">
        <is>
          <t>Max 5 units w/ secondary</t>
        </is>
      </c>
      <c r="F24" s="6">
        <f>IF(COUNTA(J2:J15)&lt;=5,"PASS","FAIL: "&amp;COUNTA(J2:J15)&amp;" units")</f>
        <v/>
      </c>
    </row>
    <row r="25" ht="15.75" customHeight="1" s="10">
      <c r="B25" s="9" t="inlineStr">
        <is>
          <t>No secondary &gt; 15 pts</t>
        </is>
      </c>
      <c r="F25" s="6">
        <f>IF(MAX(K2:K15)&lt;=15,"PASS","FAIL: max "&amp;MAX(K2:K15)&amp;" pts")</f>
        <v/>
      </c>
    </row>
    <row r="26" ht="15.75" customHeight="1" s="10">
      <c r="B26" s="9" t="inlineStr">
        <is>
          <t>Midterm unit exam-only</t>
        </is>
      </c>
      <c r="F26" s="6">
        <f>IF(AND(J8="",M8=""),"PASS","FAIL: extra assessment found")</f>
        <v/>
      </c>
    </row>
    <row r="27" ht="15.75" customHeight="1" s="10">
      <c r="B27" s="9" t="inlineStr">
        <is>
          <t>Final unit exam-only</t>
        </is>
      </c>
      <c r="F27" s="6">
        <f>IF(AND(J15="",M15=""),"PASS","FAIL: extra assessment found")</f>
        <v/>
      </c>
    </row>
    <row r="28" ht="15.75" customHeight="1" s="10">
      <c r="B28" s="9" t="inlineStr">
        <is>
          <t>&gt;=9 exam-practice primaries</t>
        </is>
      </c>
      <c r="F28" s="6">
        <f>IF(COUNTIF(H2:H15,"Problem Set")&gt;=9,"PASS","INFO: "&amp;COUNTIF(H2:H15,"Problem Set")&amp;" problem sets (need 9+)")</f>
        <v/>
      </c>
    </row>
    <row r="29" ht="15.75" customHeight="1" s="10">
      <c r="B29" s="9" t="inlineStr">
        <is>
          <t>Skill benchmarked in Unit 6</t>
        </is>
      </c>
      <c r="F29" s="6">
        <f>IF(ISNUMBER(SEARCH("(B)",G7)),"PASS","FAIL: no (B) skill in Unit 6")</f>
        <v/>
      </c>
    </row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dataValidations count="2">
    <dataValidation sqref="I2:I15" showDropDown="0" showInputMessage="0" showErrorMessage="0" allowBlank="1" type="list">
      <formula1>"Quiz,Discussion Forum"</formula1>
    </dataValidation>
    <dataValidation sqref="G2:G15" showDropDown="0" showInputMessage="0" showErrorMessage="0" allowBlank="1" type="list">
      <formula1>"Midterm Exam,Final Exam,Problem Set,Project,Quiz,Other,Onboarding"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2026-04-25T14:09:14Z</dcterms:created>
  <dcterms:modified xmlns:dcterms="http://purl.org/dc/terms/" xmlns:xsi="http://www.w3.org/2001/XMLSchema-instance" xsi:type="dcterms:W3CDTF">2026-04-25T14:39:46Z</dcterms:modified>
</cp:coreProperties>
</file>